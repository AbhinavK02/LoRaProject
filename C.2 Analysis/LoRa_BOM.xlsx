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LoRaProject\C.2 Analysis\"/>
    </mc:Choice>
  </mc:AlternateContent>
  <xr:revisionPtr revIDLastSave="0" documentId="8_{1B293F92-06D7-4D7C-AD94-AEB643CC5146}" xr6:coauthVersionLast="47" xr6:coauthVersionMax="47" xr10:uidLastSave="{00000000-0000-0000-0000-000000000000}"/>
  <bookViews>
    <workbookView xWindow="-108" yWindow="-108" windowWidth="23256" windowHeight="12576" xr2:uid="{E46E5303-9875-48F8-A8FE-F670075EC964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</calcChain>
</file>

<file path=xl/sharedStrings.xml><?xml version="1.0" encoding="utf-8"?>
<sst xmlns="http://schemas.openxmlformats.org/spreadsheetml/2006/main" count="62" uniqueCount="49">
  <si>
    <t>Item</t>
  </si>
  <si>
    <t>Part</t>
  </si>
  <si>
    <t>Description</t>
  </si>
  <si>
    <t>Qty</t>
  </si>
  <si>
    <t>Notes</t>
  </si>
  <si>
    <t>Price (€)</t>
  </si>
  <si>
    <t>Top Plate</t>
  </si>
  <si>
    <t>Detection Plate</t>
  </si>
  <si>
    <t>Wood (40x30x0.5cm)</t>
  </si>
  <si>
    <t>Bottom Plate</t>
  </si>
  <si>
    <t>Base for load cell</t>
  </si>
  <si>
    <t>Wood (15x15x0.5cm)</t>
  </si>
  <si>
    <t>M4 Screw</t>
  </si>
  <si>
    <t>Top plate screw</t>
  </si>
  <si>
    <t>-</t>
  </si>
  <si>
    <t>M5 Hex Nut</t>
  </si>
  <si>
    <t>Height spacer nut</t>
  </si>
  <si>
    <t>M5 Screw</t>
  </si>
  <si>
    <t>Bottom plate screw</t>
  </si>
  <si>
    <t>M6 Hex Nut</t>
  </si>
  <si>
    <t>Misc.</t>
  </si>
  <si>
    <t>Tape, Glue</t>
  </si>
  <si>
    <t>Load Cell + HX711</t>
  </si>
  <si>
    <t>Load cell + Amplifier module</t>
  </si>
  <si>
    <t>JOY-IT</t>
  </si>
  <si>
    <t>Tilt Switch</t>
  </si>
  <si>
    <t>Ball tilt switch</t>
  </si>
  <si>
    <t>IDUINO</t>
  </si>
  <si>
    <t>LDR</t>
  </si>
  <si>
    <t>Light resistor</t>
  </si>
  <si>
    <t>SERTRONICS</t>
  </si>
  <si>
    <t>Battery</t>
  </si>
  <si>
    <t>1800 mAh Li-Ion</t>
  </si>
  <si>
    <t>SOLDERED</t>
  </si>
  <si>
    <t>MCU + LoRa</t>
  </si>
  <si>
    <t>Xiao ESP32 + SX1262</t>
  </si>
  <si>
    <t>Seeedstudio</t>
  </si>
  <si>
    <t>Antenna</t>
  </si>
  <si>
    <t>Long range antenna</t>
  </si>
  <si>
    <t>Amphenol-SAA</t>
  </si>
  <si>
    <t>1 kOhm resistor</t>
  </si>
  <si>
    <t>Through Hole</t>
  </si>
  <si>
    <t>YAGEO</t>
  </si>
  <si>
    <t>2 kOhm resistor</t>
  </si>
  <si>
    <t>Wires</t>
  </si>
  <si>
    <t>Jumper wires of different length</t>
  </si>
  <si>
    <t>Breadboard, Wire Sleeves, Solder</t>
  </si>
  <si>
    <t>Tax (VAT 20%)</t>
  </si>
  <si>
    <t>Grand Total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</si>
</sst>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4BBC-23B6-4F1C-BE89-BDCB5738020B}">
  <dimension ref="A1:F20"/>
  <sheetViews>
    <sheetView tabSelected="1" workbookViewId="0">
      <selection activeCell="I13" sqref="I13"/>
    </sheetView>
  </sheetViews>
  <sheetFormatPr defaultRowHeight="14.4" x14ac:dyDescent="0.3"/>
  <cols>
    <col min="2" max="2" width="19.44140625" customWidth="1"/>
    <col min="3" max="3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1.1000000000000001</v>
      </c>
      <c r="B2" t="s">
        <v>6</v>
      </c>
      <c r="C2" t="s">
        <v>7</v>
      </c>
      <c r="D2">
        <v>1</v>
      </c>
      <c r="E2" t="s">
        <v>8</v>
      </c>
      <c r="F2">
        <v>5</v>
      </c>
    </row>
    <row r="3" spans="1:6" x14ac:dyDescent="0.3">
      <c r="A3">
        <v>1.2</v>
      </c>
      <c r="B3" t="s">
        <v>9</v>
      </c>
      <c r="C3" t="s">
        <v>10</v>
      </c>
      <c r="D3">
        <v>1</v>
      </c>
      <c r="E3" t="s">
        <v>11</v>
      </c>
      <c r="F3">
        <v>3</v>
      </c>
    </row>
    <row r="4" spans="1:6" x14ac:dyDescent="0.3">
      <c r="A4">
        <v>1.3</v>
      </c>
      <c r="B4" t="s">
        <v>12</v>
      </c>
      <c r="C4" t="s">
        <v>13</v>
      </c>
      <c r="D4">
        <v>2</v>
      </c>
      <c r="E4" t="s">
        <v>14</v>
      </c>
      <c r="F4">
        <v>1</v>
      </c>
    </row>
    <row r="5" spans="1:6" x14ac:dyDescent="0.3">
      <c r="A5">
        <v>1.4</v>
      </c>
      <c r="B5" t="s">
        <v>15</v>
      </c>
      <c r="C5" t="s">
        <v>16</v>
      </c>
      <c r="D5">
        <v>4</v>
      </c>
      <c r="E5" t="s">
        <v>14</v>
      </c>
      <c r="F5">
        <v>0.5</v>
      </c>
    </row>
    <row r="6" spans="1:6" x14ac:dyDescent="0.3">
      <c r="A6">
        <v>1.5</v>
      </c>
      <c r="B6" t="s">
        <v>17</v>
      </c>
      <c r="C6" t="s">
        <v>18</v>
      </c>
      <c r="D6">
        <v>2</v>
      </c>
      <c r="E6" t="s">
        <v>14</v>
      </c>
      <c r="F6">
        <v>1</v>
      </c>
    </row>
    <row r="7" spans="1:6" x14ac:dyDescent="0.3">
      <c r="A7">
        <v>1.6</v>
      </c>
      <c r="B7" t="s">
        <v>19</v>
      </c>
      <c r="C7" t="s">
        <v>16</v>
      </c>
      <c r="D7">
        <v>4</v>
      </c>
      <c r="E7" t="s">
        <v>14</v>
      </c>
      <c r="F7">
        <v>0.5</v>
      </c>
    </row>
    <row r="8" spans="1:6" x14ac:dyDescent="0.3">
      <c r="A8">
        <v>1.7</v>
      </c>
      <c r="B8" t="s">
        <v>20</v>
      </c>
      <c r="C8" t="s">
        <v>21</v>
      </c>
      <c r="D8" t="s">
        <v>14</v>
      </c>
      <c r="E8" t="s">
        <v>14</v>
      </c>
      <c r="F8">
        <v>0.5</v>
      </c>
    </row>
    <row r="9" spans="1:6" x14ac:dyDescent="0.3">
      <c r="A9">
        <v>2.1</v>
      </c>
      <c r="B9" t="s">
        <v>22</v>
      </c>
      <c r="C9" t="s">
        <v>23</v>
      </c>
      <c r="D9">
        <v>1</v>
      </c>
      <c r="E9" t="s">
        <v>24</v>
      </c>
      <c r="F9">
        <v>6.4</v>
      </c>
    </row>
    <row r="10" spans="1:6" x14ac:dyDescent="0.3">
      <c r="A10">
        <v>2.2000000000000002</v>
      </c>
      <c r="B10" t="s">
        <v>25</v>
      </c>
      <c r="C10" t="s">
        <v>26</v>
      </c>
      <c r="D10">
        <v>1</v>
      </c>
      <c r="E10" t="s">
        <v>27</v>
      </c>
      <c r="F10">
        <v>0.94</v>
      </c>
    </row>
    <row r="11" spans="1:6" x14ac:dyDescent="0.3">
      <c r="A11">
        <v>2.2999999999999998</v>
      </c>
      <c r="B11" t="s">
        <v>28</v>
      </c>
      <c r="C11" t="s">
        <v>29</v>
      </c>
      <c r="D11">
        <v>1</v>
      </c>
      <c r="E11" t="s">
        <v>30</v>
      </c>
      <c r="F11">
        <v>1.35</v>
      </c>
    </row>
    <row r="12" spans="1:6" x14ac:dyDescent="0.3">
      <c r="A12">
        <v>2.4</v>
      </c>
      <c r="B12" t="s">
        <v>31</v>
      </c>
      <c r="C12" t="s">
        <v>32</v>
      </c>
      <c r="D12">
        <v>1</v>
      </c>
      <c r="E12" t="s">
        <v>33</v>
      </c>
      <c r="F12">
        <v>10.24</v>
      </c>
    </row>
    <row r="13" spans="1:6" x14ac:dyDescent="0.3">
      <c r="A13">
        <v>2.5</v>
      </c>
      <c r="B13" t="s">
        <v>34</v>
      </c>
      <c r="C13" t="s">
        <v>35</v>
      </c>
      <c r="D13">
        <v>1</v>
      </c>
      <c r="E13" t="s">
        <v>36</v>
      </c>
      <c r="F13">
        <v>11.68</v>
      </c>
    </row>
    <row r="14" spans="1:6" x14ac:dyDescent="0.3">
      <c r="A14">
        <v>2.6</v>
      </c>
      <c r="B14" t="s">
        <v>37</v>
      </c>
      <c r="C14" t="s">
        <v>38</v>
      </c>
      <c r="D14">
        <v>1</v>
      </c>
      <c r="E14" t="s">
        <v>39</v>
      </c>
      <c r="F14">
        <v>2.69</v>
      </c>
    </row>
    <row r="15" spans="1:6" x14ac:dyDescent="0.3">
      <c r="A15">
        <v>2.7</v>
      </c>
      <c r="B15" t="s">
        <v>40</v>
      </c>
      <c r="C15" t="s">
        <v>41</v>
      </c>
      <c r="D15">
        <v>1</v>
      </c>
      <c r="E15" t="s">
        <v>42</v>
      </c>
      <c r="F15">
        <v>0.1</v>
      </c>
    </row>
    <row r="16" spans="1:6" x14ac:dyDescent="0.3">
      <c r="A16">
        <v>2.8</v>
      </c>
      <c r="B16" t="s">
        <v>43</v>
      </c>
      <c r="C16" t="s">
        <v>41</v>
      </c>
      <c r="D16">
        <v>1</v>
      </c>
      <c r="E16" t="s">
        <v>42</v>
      </c>
      <c r="F16">
        <v>0.1</v>
      </c>
    </row>
    <row r="17" spans="1:6" x14ac:dyDescent="0.3">
      <c r="A17">
        <v>2.9</v>
      </c>
      <c r="B17" t="s">
        <v>44</v>
      </c>
      <c r="C17" t="s">
        <v>45</v>
      </c>
      <c r="D17" t="s">
        <v>14</v>
      </c>
      <c r="E17" t="s">
        <v>14</v>
      </c>
      <c r="F17">
        <v>0.3</v>
      </c>
    </row>
    <row r="18" spans="1:6" x14ac:dyDescent="0.3">
      <c r="A18">
        <v>2.1</v>
      </c>
      <c r="B18" t="s">
        <v>20</v>
      </c>
      <c r="C18" t="s">
        <v>46</v>
      </c>
      <c r="D18" t="s">
        <v>14</v>
      </c>
      <c r="E18" t="s">
        <v>14</v>
      </c>
      <c r="F18">
        <v>0.5</v>
      </c>
    </row>
    <row r="19" spans="1:6" x14ac:dyDescent="0.3">
      <c r="B19" t="s">
        <v>47</v>
      </c>
      <c r="F19">
        <f>SUM(F2:F18)*0.2</f>
        <v>9.16</v>
      </c>
    </row>
    <row r="20" spans="1:6" x14ac:dyDescent="0.3">
      <c r="B20" t="s">
        <v>48</v>
      </c>
      <c r="F20">
        <f>SUM(F2:F19)</f>
        <v>54.959999999999994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2025-12-30T12:13:02Z</dcterms:created>
  <dcterms:modified xsi:type="dcterms:W3CDTF">2025-12-30T12:18:46Z</dcterms:modified>
</cp:coreProperties>
</file>