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LoRaProject\C.2 Analysis\Power Consumption\"/>
    </mc:Choice>
  </mc:AlternateContent>
  <xr:revisionPtr revIDLastSave="0" documentId="8_{0E10235B-A931-480B-9226-8A3B24DCE40F}" xr6:coauthVersionLast="47" xr6:coauthVersionMax="47" xr10:uidLastSave="{00000000-0000-0000-0000-000000000000}"/>
  <bookViews>
    <workbookView xWindow="-108" yWindow="-108" windowWidth="23256" windowHeight="12576" xr2:uid="{F826ED04-D7B6-4836-B3DB-F57F0AACE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D2" i="1"/>
  <c r="E2" i="1" s="1"/>
  <c r="D3" i="1" l="1"/>
  <c r="E3" i="1" s="1"/>
  <c r="H2" i="1" s="1"/>
  <c r="H3" i="1" s="1"/>
  <c r="H4" i="1" s="1"/>
</calcChain>
</file>

<file path=xl/sharedStrings.xml><?xml version="1.0" encoding="utf-8"?>
<sst xmlns="http://schemas.openxmlformats.org/spreadsheetml/2006/main" count="12" uniqueCount="12">
  <si>
    <t>Current [mA]</t>
  </si>
  <si>
    <t>Duration [s]</t>
  </si>
  <si>
    <t>rest</t>
  </si>
  <si>
    <t>Frequency [/day]</t>
  </si>
  <si>
    <t>Daily Duration [s/day]</t>
  </si>
  <si>
    <t>Constants</t>
  </si>
  <si>
    <t>s/day</t>
  </si>
  <si>
    <t>Daily Consumption [mAs/day]</t>
  </si>
  <si>
    <t>Life [h]</t>
  </si>
  <si>
    <t>Avg Current [mA]</t>
  </si>
  <si>
    <t>capacity [mAh]</t>
  </si>
  <si>
    <t>Life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</si>
</sst>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5ED0-CFDF-4E6A-841D-1EF7442F7F4C}">
  <dimension ref="A1:K4"/>
  <sheetViews>
    <sheetView tabSelected="1" workbookViewId="0">
      <selection activeCell="A3" sqref="A3"/>
    </sheetView>
  </sheetViews>
  <sheetFormatPr defaultRowHeight="14.4" x14ac:dyDescent="0.3"/>
  <cols>
    <col min="1" max="1" width="12.109375" customWidth="1"/>
    <col min="2" max="2" width="14.33203125" customWidth="1"/>
    <col min="3" max="3" width="15.44140625" customWidth="1"/>
    <col min="4" max="4" width="13" customWidth="1"/>
    <col min="5" max="5" width="17" customWidth="1"/>
    <col min="6" max="6" width="10.33203125" customWidth="1"/>
    <col min="7" max="7" width="15.109375" customWidth="1"/>
    <col min="10" max="10" width="12.44140625" customWidth="1"/>
  </cols>
  <sheetData>
    <row r="1" spans="1:11" ht="36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7</v>
      </c>
      <c r="J1" t="s">
        <v>5</v>
      </c>
    </row>
    <row r="2" spans="1:11" x14ac:dyDescent="0.3">
      <c r="A2">
        <v>39.5</v>
      </c>
      <c r="B2">
        <v>65</v>
      </c>
      <c r="C2">
        <v>4</v>
      </c>
      <c r="D2">
        <f>B2*C2</f>
        <v>260</v>
      </c>
      <c r="E2">
        <f>D2*A2</f>
        <v>10270</v>
      </c>
      <c r="G2" t="s">
        <v>9</v>
      </c>
      <c r="H2">
        <f>SUM(E2:E3)/$K$2</f>
        <v>7.3470486111111111</v>
      </c>
      <c r="J2" t="s">
        <v>6</v>
      </c>
      <c r="K2">
        <f>24*3600</f>
        <v>86400</v>
      </c>
    </row>
    <row r="3" spans="1:11" x14ac:dyDescent="0.3">
      <c r="A3">
        <v>7.25</v>
      </c>
      <c r="B3" t="s">
        <v>2</v>
      </c>
      <c r="C3">
        <v>1</v>
      </c>
      <c r="D3">
        <f>$K$2-D2</f>
        <v>86140</v>
      </c>
      <c r="E3">
        <f>D3*A3</f>
        <v>624515</v>
      </c>
      <c r="G3" t="s">
        <v>8</v>
      </c>
      <c r="H3">
        <f>K3/$H$2</f>
        <v>244.9963373425648</v>
      </c>
      <c r="J3" t="s">
        <v>10</v>
      </c>
      <c r="K3">
        <v>1800</v>
      </c>
    </row>
    <row r="4" spans="1:11" x14ac:dyDescent="0.3">
      <c r="G4" t="s">
        <v>11</v>
      </c>
      <c r="H4">
        <f>H3/24</f>
        <v>10.208180722606867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2025-12-19T15:49:52Z</dcterms:created>
  <dcterms:modified xsi:type="dcterms:W3CDTF">2025-12-19T15:59:45Z</dcterms:modified>
</cp:coreProperties>
</file>