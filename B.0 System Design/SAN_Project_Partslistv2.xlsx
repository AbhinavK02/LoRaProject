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" sheetId="1" r:id="rId4"/>
  </sheets>
  <definedNames/>
  <calcPr/>
  <extLst>
    <ext uri="GoogleSheetsCustomDataVersion2">
      <go:sheetsCustomData xmlns:go="http://customooxmlschemas.google.com/" r:id="rId5" roundtripDataChecksum="KVw2IzvjH9uGvXE8S2qF2ZAHxQKbrr9nveVnU+0lw5g="/>
    </ext>
  </extLst>
</workbook>
</file>

<file path=xl/sharedStrings.xml><?xml version="1.0" encoding="utf-8"?>
<sst xmlns="http://schemas.openxmlformats.org/spreadsheetml/2006/main" count="99" uniqueCount="84">
  <si>
    <t>Group no.</t>
  </si>
  <si>
    <t>99</t>
  </si>
  <si>
    <t>Project</t>
  </si>
  <si>
    <t>The Talking Mail Box</t>
  </si>
  <si>
    <t>Date</t>
  </si>
  <si>
    <t>23.10.2025</t>
  </si>
  <si>
    <t>Team members</t>
  </si>
  <si>
    <t>Justin Chin Cheong, Abhinav Kothari</t>
  </si>
  <si>
    <t>No.</t>
  </si>
  <si>
    <t>Qty.</t>
  </si>
  <si>
    <t>manufacturer</t>
  </si>
  <si>
    <t>component</t>
  </si>
  <si>
    <t>ordering code (manufacturer)</t>
  </si>
  <si>
    <t>vendor</t>
  </si>
  <si>
    <t>ordering code (vendor)</t>
  </si>
  <si>
    <t>Price per unit €*</t>
  </si>
  <si>
    <t>Price €*</t>
  </si>
  <si>
    <t>Link</t>
  </si>
  <si>
    <t>IDUINO</t>
  </si>
  <si>
    <t>Tilt Sensor</t>
  </si>
  <si>
    <t>SE059</t>
  </si>
  <si>
    <t>Reichelt</t>
  </si>
  <si>
    <t>DEBO1 TILT</t>
  </si>
  <si>
    <t>https://www.reichelt.com/de/en/shop/product/developer_boards_-_tilt_switch_digital-282564</t>
  </si>
  <si>
    <t>SERTRONICS</t>
  </si>
  <si>
    <t>Light Dependent Resistor Developer board</t>
  </si>
  <si>
    <t>LIGHT-SENSOR</t>
  </si>
  <si>
    <t>DEBO LIGHT SENS</t>
  </si>
  <si>
    <t>https://www.reichelt.com/de/en/shop/product/developer_boards_-_light_sensor_with_high_low_output_lm393-224222</t>
  </si>
  <si>
    <t>Seeedstudio</t>
  </si>
  <si>
    <t>Xiao ESP32-S3 + Wio-SX1262</t>
  </si>
  <si>
    <t>Other</t>
  </si>
  <si>
    <t>SEE-25675</t>
  </si>
  <si>
    <t>https://botland.store/lora-lorawan/25675-xiao-esp32-s3-wio-sx1262-kit-for-meshtastic-and-loralorawan-seeedstudio-102010611-4897068320128.html#</t>
  </si>
  <si>
    <t>SOLDERED </t>
  </si>
  <si>
    <t>Li-Ion Akku</t>
  </si>
  <si>
    <t>AKKU SOLD333284</t>
  </si>
  <si>
    <t>https://www.reichelt.de/de/de/shop/produkt/li-ion_akku_soldered_333284_1800_mah_3_7_v-373548#closemodal</t>
  </si>
  <si>
    <t>Joy-It</t>
  </si>
  <si>
    <t>Arduino Pressure Sensor 20g to 10 kg</t>
  </si>
  <si>
    <t>SEN-PRESSURE10</t>
  </si>
  <si>
    <t>ARD SEN PRESSURE</t>
  </si>
  <si>
    <t>https://www.reichelt.com/de/en/shop/product/arduino_-_pressure_sensor_20_g_to_10_kg-284398</t>
  </si>
  <si>
    <t>DFRobot</t>
  </si>
  <si>
    <t>RP-L-170 Thin Pressure Sensor</t>
  </si>
  <si>
    <t>SEN0295</t>
  </si>
  <si>
    <t>Mouser</t>
  </si>
  <si>
    <t>426-SEN0295</t>
  </si>
  <si>
    <t>https://www.mouser.de/ProductDetail/DFRobot/SEN0295?qs=sGAEpiMZZMtVC8zYynLsnB%252B0BnHoQpS11Ar9j6uls6qWvOu%2FONLfcQ%3D%3D</t>
  </si>
  <si>
    <t>Adafruit</t>
  </si>
  <si>
    <t>Alpha MF02A-N-221-A01 FSR</t>
  </si>
  <si>
    <t>485-1075</t>
  </si>
  <si>
    <t>https://www.mouser.de/ProductDetail/Adafruit/1075?qs=GURawfaeGuDaOmXus2Zwlg%3D%3D&amp;srsltid=AfmBOoqPjGBxcbU3BVnAll4tdV4CWD0fP--ah08xwow2FXfFR49rX8Z8&amp;utm_source=chatgpt.com</t>
  </si>
  <si>
    <t>Microchip</t>
  </si>
  <si>
    <t>MCP6002 I/P Operationsverstärker Dual 1.8V 1MHz</t>
  </si>
  <si>
    <t>MCP6002</t>
  </si>
  <si>
    <t>HSRW</t>
  </si>
  <si>
    <t>https://www.mouser.de/ProductDetail/Microchip-Technology/MCP6002-I-P?qs=sGAEpiMZZMsxiS4eJwGuBtZupmX4AUSq</t>
  </si>
  <si>
    <t xml:space="preserve">Load cell + amplifier </t>
  </si>
  <si>
    <t>SEN-HX711-01</t>
  </si>
  <si>
    <t>DEBO HX711-01</t>
  </si>
  <si>
    <t>https://www.reichelt.com/de/en/shop/product/developer_boards_-_a_d_converter_-_balance-316296#closemodal</t>
  </si>
  <si>
    <t>Amphenol-SAA</t>
  </si>
  <si>
    <t>PIOV008NRAA-100</t>
  </si>
  <si>
    <t>523-PIOV008NRAA-100</t>
  </si>
  <si>
    <t>https://www.mouser.de/ProductDetail/Amphenol-SAA/PIOV008NRAA-100?qs=GedFDFLaBXFCaCiGvxFhnA%3D%3D</t>
  </si>
  <si>
    <t>total price*</t>
  </si>
  <si>
    <t>List of suitable vendors:</t>
  </si>
  <si>
    <t>value added tax (VAT)</t>
  </si>
  <si>
    <t>shop</t>
  </si>
  <si>
    <t>language</t>
  </si>
  <si>
    <t>homepage</t>
  </si>
  <si>
    <t>total price inclusive VAT:</t>
  </si>
  <si>
    <t>en</t>
  </si>
  <si>
    <t>https://ee.hsrw.org/</t>
  </si>
  <si>
    <t>en/de</t>
  </si>
  <si>
    <t>https://www.mouser.de/</t>
  </si>
  <si>
    <t>https://www.reichelt.de/</t>
  </si>
  <si>
    <t>*without value added tax (VAT)</t>
  </si>
  <si>
    <t>Conrad</t>
  </si>
  <si>
    <t>https://www.conrad.biz/</t>
  </si>
  <si>
    <t>only when absolutely necessary</t>
  </si>
  <si>
    <t>Botland</t>
  </si>
  <si>
    <t xml:space="preserve">https://botland.store/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</si>
</sst>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u/>
      <sz val="11.0"/>
      <color theme="10"/>
      <name val="Calibri"/>
    </font>
    <font>
      <sz val="10.0"/>
      <color rgb="FF333333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7F7F7F"/>
      </top>
      <bottom/>
    </border>
    <border>
      <left style="thin">
        <color rgb="FF000000"/>
      </left>
      <right style="thin">
        <color rgb="FF000000"/>
      </righ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left/>
      <right/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49" xfId="0" applyAlignment="1" applyBorder="1" applyFont="1" applyNumberFormat="1">
      <alignment horizontal="right"/>
    </xf>
    <xf borderId="3" fillId="2" fontId="1" numFmtId="0" xfId="0" applyBorder="1" applyFont="1"/>
    <xf borderId="1" fillId="0" fontId="3" numFmtId="0" xfId="0" applyAlignment="1" applyBorder="1" applyFont="1">
      <alignment horizontal="center"/>
    </xf>
    <xf borderId="4" fillId="0" fontId="2" numFmtId="0" xfId="0" applyBorder="1" applyFont="1"/>
    <xf borderId="3" fillId="0" fontId="3" numFmtId="14" xfId="0" applyBorder="1" applyFont="1" applyNumberFormat="1"/>
    <xf borderId="1" fillId="0" fontId="3" numFmtId="1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2" xfId="0" applyAlignment="1" applyBorder="1" applyFont="1" applyNumberFormat="1">
      <alignment horizontal="center" vertical="center"/>
    </xf>
    <xf borderId="5" fillId="0" fontId="4" numFmtId="2" xfId="0" applyAlignment="1" applyBorder="1" applyFont="1" applyNumberForma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7" fillId="0" fontId="3" numFmtId="2" xfId="0" applyAlignment="1" applyBorder="1" applyFont="1" applyNumberFormat="1">
      <alignment horizontal="center" vertical="center"/>
    </xf>
    <xf borderId="7" fillId="0" fontId="6" numFmtId="2" xfId="0" applyAlignment="1" applyBorder="1" applyFont="1" applyNumberForma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7" fillId="0" fontId="3" numFmtId="49" xfId="0" applyAlignment="1" applyBorder="1" applyFont="1" applyNumberForma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shrinkToFit="0" vertical="center" wrapText="1"/>
    </xf>
    <xf borderId="10" fillId="0" fontId="3" numFmtId="2" xfId="0" applyAlignment="1" applyBorder="1" applyFont="1" applyNumberFormat="1">
      <alignment horizontal="center" vertical="center"/>
    </xf>
    <xf borderId="10" fillId="0" fontId="7" numFmtId="2" xfId="0" applyAlignment="1" applyBorder="1" applyFont="1" applyNumberFormat="1">
      <alignment horizontal="left" shrinkToFit="0" vertical="center" wrapText="1"/>
    </xf>
    <xf borderId="10" fillId="0" fontId="8" numFmtId="2" xfId="0" applyAlignment="1" applyBorder="1" applyFont="1" applyNumberFormat="1">
      <alignment horizontal="left" readingOrder="0" shrinkToFit="0" vertical="center" wrapText="1"/>
    </xf>
    <xf borderId="11" fillId="2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shrinkToFit="0" vertical="center" wrapText="1"/>
    </xf>
    <xf borderId="11" fillId="0" fontId="3" numFmtId="2" xfId="0" applyAlignment="1" applyBorder="1" applyFont="1" applyNumberFormat="1">
      <alignment horizontal="center" vertical="center"/>
    </xf>
    <xf borderId="11" fillId="0" fontId="9" numFmtId="2" xfId="0" applyAlignment="1" applyBorder="1" applyFont="1" applyNumberFormat="1">
      <alignment horizontal="left" shrinkToFit="0" vertical="center" wrapText="1"/>
    </xf>
    <xf borderId="12" fillId="2" fontId="3" numFmtId="0" xfId="0" applyAlignment="1" applyBorder="1" applyFont="1">
      <alignment horizontal="center"/>
    </xf>
    <xf borderId="13" fillId="0" fontId="2" numFmtId="0" xfId="0" applyBorder="1" applyFont="1"/>
    <xf borderId="14" fillId="2" fontId="3" numFmtId="2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 vertical="center"/>
    </xf>
    <xf borderId="15" fillId="2" fontId="3" numFmtId="0" xfId="0" applyBorder="1" applyFont="1"/>
    <xf borderId="16" fillId="2" fontId="3" numFmtId="0" xfId="0" applyBorder="1" applyFont="1"/>
    <xf borderId="17" fillId="2" fontId="3" numFmtId="0" xfId="0" applyBorder="1" applyFont="1"/>
    <xf borderId="1" fillId="2" fontId="3" numFmtId="0" xfId="0" applyAlignment="1" applyBorder="1" applyFont="1">
      <alignment horizontal="center"/>
    </xf>
    <xf borderId="3" fillId="2" fontId="3" numFmtId="2" xfId="0" applyAlignment="1" applyBorder="1" applyFont="1" applyNumberFormat="1">
      <alignment horizontal="right" vertical="center"/>
    </xf>
    <xf borderId="18" fillId="2" fontId="1" numFmtId="0" xfId="0" applyAlignment="1" applyBorder="1" applyFont="1">
      <alignment horizontal="left"/>
    </xf>
    <xf borderId="19" fillId="0" fontId="2" numFmtId="0" xfId="0" applyBorder="1" applyFont="1"/>
    <xf borderId="20" fillId="2" fontId="1" numFmtId="0" xfId="0" applyAlignment="1" applyBorder="1" applyFont="1">
      <alignment horizontal="center"/>
    </xf>
    <xf borderId="21" fillId="2" fontId="1" numFmtId="0" xfId="0" applyAlignment="1" applyBorder="1" applyFont="1">
      <alignment horizontal="left"/>
    </xf>
    <xf borderId="22" fillId="0" fontId="2" numFmtId="0" xfId="0" applyBorder="1" applyFont="1"/>
    <xf borderId="3" fillId="2" fontId="3" numFmtId="2" xfId="0" applyAlignment="1" applyBorder="1" applyFont="1" applyNumberFormat="1">
      <alignment horizontal="right"/>
    </xf>
    <xf borderId="18" fillId="2" fontId="3" numFmtId="0" xfId="0" applyAlignment="1" applyBorder="1" applyFont="1">
      <alignment horizontal="left"/>
    </xf>
    <xf borderId="20" fillId="2" fontId="3" numFmtId="0" xfId="0" applyAlignment="1" applyBorder="1" applyFont="1">
      <alignment horizontal="center"/>
    </xf>
    <xf borderId="21" fillId="2" fontId="10" numFmtId="0" xfId="0" applyAlignment="1" applyBorder="1" applyFont="1">
      <alignment horizontal="left"/>
    </xf>
    <xf borderId="0" fillId="0" fontId="11" numFmtId="0" xfId="0" applyFont="1"/>
    <xf borderId="23" fillId="2" fontId="3" numFmtId="0" xfId="0" applyAlignment="1" applyBorder="1" applyFont="1">
      <alignment horizontal="left"/>
    </xf>
    <xf borderId="24" fillId="0" fontId="2" numFmtId="0" xfId="0" applyBorder="1" applyFont="1"/>
    <xf borderId="16" fillId="2" fontId="3" numFmtId="0" xfId="0" applyAlignment="1" applyBorder="1" applyFont="1">
      <alignment horizontal="center"/>
    </xf>
    <xf borderId="25" fillId="2" fontId="12" numFmtId="0" xfId="0" applyAlignment="1" applyBorder="1" applyFont="1">
      <alignment horizontal="left"/>
    </xf>
    <xf borderId="26" fillId="0" fontId="2" numFmtId="0" xfId="0" applyBorder="1" applyFont="1"/>
    <xf borderId="27" fillId="2" fontId="3" numFmtId="0" xfId="0" applyBorder="1" applyFont="1"/>
    <xf borderId="28" fillId="2" fontId="3" numFmtId="0" xfId="0" applyBorder="1" applyFont="1"/>
    <xf borderId="28" fillId="2" fontId="3" numFmtId="0" xfId="0" applyAlignment="1" applyBorder="1" applyFont="1">
      <alignment horizontal="center"/>
    </xf>
    <xf borderId="28" fillId="2" fontId="13" numFmtId="0" xfId="0" applyBorder="1" applyFont="1"/>
    <xf borderId="29" fillId="2" fontId="3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onrad.biz/" TargetMode="External"/><Relationship Id="rId10" Type="http://schemas.openxmlformats.org/officeDocument/2006/relationships/hyperlink" Target="https://www.reichelt.de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botland.store/" TargetMode="External"/><Relationship Id="rId1" Type="http://schemas.openxmlformats.org/officeDocument/2006/relationships/hyperlink" Target="https://www.reichelt.com/de/en/shop/product/developer_boards_-_tilt_switch_digital-282564" TargetMode="External"/><Relationship Id="rId2" Type="http://schemas.openxmlformats.org/officeDocument/2006/relationships/hyperlink" Target="https://www.reichelt.com/de/en/shop/product/developer_boards_-_light_sensor_with_high_low_output_lm393-224222" TargetMode="External"/><Relationship Id="rId3" Type="http://schemas.openxmlformats.org/officeDocument/2006/relationships/hyperlink" Target="https://botland.store/lora-lorawan/25675-xiao-esp32-s3-wio-sx1262-kit-for-meshtastic-and-loralorawan-seeedstudio-102010611-4897068320128.html" TargetMode="External"/><Relationship Id="rId4" Type="http://schemas.openxmlformats.org/officeDocument/2006/relationships/hyperlink" Target="https://www.reichelt.de/de/de/shop/produkt/li-ion_akku_soldered_333284_1800_mah_3_7_v-373548" TargetMode="External"/><Relationship Id="rId9" Type="http://schemas.openxmlformats.org/officeDocument/2006/relationships/hyperlink" Target="https://www.mouser.de/" TargetMode="External"/><Relationship Id="rId5" Type="http://schemas.openxmlformats.org/officeDocument/2006/relationships/hyperlink" Target="https://www.reichelt.com/de/en/shop/product/arduino_-_pressure_sensor_20_g_to_10_kg-284398" TargetMode="External"/><Relationship Id="rId6" Type="http://schemas.openxmlformats.org/officeDocument/2006/relationships/hyperlink" Target="https://www.mouser.de/ProductDetail/Adafruit/1075?qs=GURawfaeGuDaOmXus2Zwlg%3D%3D&amp;srsltid=AfmBOoqPjGBxcbU3BVnAll4tdV4CWD0fP--ah08xwow2FXfFR49rX8Z8&amp;utm_source=chatgpt.com" TargetMode="External"/><Relationship Id="rId7" Type="http://schemas.openxmlformats.org/officeDocument/2006/relationships/hyperlink" Target="https://www.mouser.de/ProductDetail/Amphenol-SAA/PIOV008NRAA-100?qs=GedFDFLaBXFCaCiGvxFhnA%3D%3D" TargetMode="External"/><Relationship Id="rId8" Type="http://schemas.openxmlformats.org/officeDocument/2006/relationships/hyperlink" Target="https://ee.hsrw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.86"/>
    <col customWidth="1" min="3" max="3" width="12.43"/>
    <col customWidth="1" min="4" max="4" width="14.43"/>
    <col customWidth="1" min="5" max="5" width="13.71"/>
    <col customWidth="1" min="6" max="6" width="7.71"/>
    <col customWidth="1" min="7" max="7" width="13.71"/>
    <col customWidth="1" min="8" max="8" width="8.71"/>
    <col customWidth="1" min="9" max="9" width="6.57"/>
    <col customWidth="1" min="10" max="10" width="55.29"/>
    <col customWidth="1" min="11" max="26" width="11.57"/>
  </cols>
  <sheetData>
    <row r="1" ht="14.25" customHeight="1">
      <c r="A1" s="1" t="s">
        <v>0</v>
      </c>
      <c r="B1" s="2"/>
      <c r="C1" s="3" t="s">
        <v>1</v>
      </c>
      <c r="G1" s="4" t="s">
        <v>2</v>
      </c>
      <c r="H1" s="5" t="s">
        <v>3</v>
      </c>
      <c r="I1" s="6"/>
      <c r="J1" s="2"/>
    </row>
    <row r="2" ht="14.25" customHeight="1">
      <c r="A2" s="1" t="s">
        <v>4</v>
      </c>
      <c r="B2" s="2"/>
      <c r="C2" s="7" t="s">
        <v>5</v>
      </c>
      <c r="G2" s="4" t="s">
        <v>6</v>
      </c>
      <c r="H2" s="8" t="s">
        <v>7</v>
      </c>
      <c r="I2" s="6"/>
      <c r="J2" s="2"/>
    </row>
    <row r="3" ht="14.25" customHeight="1"/>
    <row r="4" ht="14.25" customHeight="1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</row>
    <row r="5" ht="45.75" customHeight="1">
      <c r="A5" s="10">
        <v>1.0</v>
      </c>
      <c r="B5" s="11">
        <v>1.0</v>
      </c>
      <c r="C5" s="12" t="s">
        <v>18</v>
      </c>
      <c r="D5" s="13" t="s">
        <v>19</v>
      </c>
      <c r="E5" s="13" t="s">
        <v>20</v>
      </c>
      <c r="F5" s="14" t="s">
        <v>21</v>
      </c>
      <c r="G5" s="14" t="s">
        <v>22</v>
      </c>
      <c r="H5" s="15">
        <v>0.94</v>
      </c>
      <c r="I5" s="15">
        <f t="shared" ref="I5:I19" si="1">H5*B5</f>
        <v>0.94</v>
      </c>
      <c r="J5" s="16" t="s">
        <v>23</v>
      </c>
    </row>
    <row r="6" ht="14.25" customHeight="1">
      <c r="A6" s="17">
        <v>2.0</v>
      </c>
      <c r="B6" s="18">
        <v>1.0</v>
      </c>
      <c r="C6" s="19" t="s">
        <v>24</v>
      </c>
      <c r="D6" s="20" t="s">
        <v>25</v>
      </c>
      <c r="E6" s="21" t="s">
        <v>26</v>
      </c>
      <c r="F6" s="19" t="s">
        <v>21</v>
      </c>
      <c r="G6" s="22" t="s">
        <v>27</v>
      </c>
      <c r="H6" s="23">
        <v>1.35</v>
      </c>
      <c r="I6" s="23">
        <f t="shared" si="1"/>
        <v>1.35</v>
      </c>
      <c r="J6" s="24" t="s">
        <v>28</v>
      </c>
    </row>
    <row r="7" ht="14.25" customHeight="1">
      <c r="A7" s="17">
        <v>3.0</v>
      </c>
      <c r="B7" s="18">
        <v>1.0</v>
      </c>
      <c r="C7" s="19" t="s">
        <v>29</v>
      </c>
      <c r="D7" s="25" t="s">
        <v>30</v>
      </c>
      <c r="E7" s="26">
        <v>1.02010611E8</v>
      </c>
      <c r="F7" s="19" t="s">
        <v>31</v>
      </c>
      <c r="G7" s="18" t="s">
        <v>32</v>
      </c>
      <c r="H7" s="23">
        <v>11.68</v>
      </c>
      <c r="I7" s="23">
        <f t="shared" si="1"/>
        <v>11.68</v>
      </c>
      <c r="J7" s="24" t="s">
        <v>33</v>
      </c>
    </row>
    <row r="8" ht="14.25" customHeight="1">
      <c r="A8" s="17">
        <v>4.0</v>
      </c>
      <c r="B8" s="18">
        <v>1.0</v>
      </c>
      <c r="C8" s="19" t="s">
        <v>34</v>
      </c>
      <c r="D8" s="18" t="s">
        <v>35</v>
      </c>
      <c r="E8" s="19">
        <v>333284.0</v>
      </c>
      <c r="F8" s="19" t="s">
        <v>21</v>
      </c>
      <c r="G8" s="19" t="s">
        <v>36</v>
      </c>
      <c r="H8" s="23">
        <v>8.57</v>
      </c>
      <c r="I8" s="23">
        <f t="shared" si="1"/>
        <v>8.57</v>
      </c>
      <c r="J8" s="24" t="s">
        <v>37</v>
      </c>
    </row>
    <row r="9" ht="14.25" customHeight="1">
      <c r="A9" s="17">
        <v>5.0</v>
      </c>
      <c r="B9" s="18">
        <v>1.0</v>
      </c>
      <c r="C9" s="19" t="s">
        <v>38</v>
      </c>
      <c r="D9" s="19" t="s">
        <v>39</v>
      </c>
      <c r="E9" s="19" t="s">
        <v>40</v>
      </c>
      <c r="F9" s="19" t="s">
        <v>21</v>
      </c>
      <c r="G9" s="27" t="s">
        <v>41</v>
      </c>
      <c r="H9" s="23">
        <v>5.15</v>
      </c>
      <c r="I9" s="23">
        <f t="shared" si="1"/>
        <v>5.15</v>
      </c>
      <c r="J9" s="24" t="s">
        <v>42</v>
      </c>
    </row>
    <row r="10" ht="51.0" customHeight="1">
      <c r="A10" s="17">
        <v>6.0</v>
      </c>
      <c r="B10" s="18">
        <v>1.0</v>
      </c>
      <c r="C10" s="19" t="s">
        <v>43</v>
      </c>
      <c r="D10" s="19" t="s">
        <v>44</v>
      </c>
      <c r="E10" s="18" t="s">
        <v>45</v>
      </c>
      <c r="F10" s="19" t="s">
        <v>46</v>
      </c>
      <c r="G10" s="18" t="s">
        <v>47</v>
      </c>
      <c r="H10" s="23">
        <v>5.59</v>
      </c>
      <c r="I10" s="23">
        <f t="shared" si="1"/>
        <v>5.59</v>
      </c>
      <c r="J10" s="24" t="s">
        <v>48</v>
      </c>
    </row>
    <row r="11" ht="28.5" customHeight="1">
      <c r="A11" s="28">
        <v>7.0</v>
      </c>
      <c r="B11" s="29">
        <v>2.0</v>
      </c>
      <c r="C11" s="30" t="s">
        <v>49</v>
      </c>
      <c r="D11" s="30" t="s">
        <v>50</v>
      </c>
      <c r="E11" s="29">
        <v>1075.0</v>
      </c>
      <c r="F11" s="30" t="s">
        <v>46</v>
      </c>
      <c r="G11" s="29" t="s">
        <v>51</v>
      </c>
      <c r="H11" s="31">
        <v>6.66</v>
      </c>
      <c r="I11" s="31">
        <f t="shared" si="1"/>
        <v>13.32</v>
      </c>
      <c r="J11" s="32" t="s">
        <v>52</v>
      </c>
    </row>
    <row r="12" ht="14.25" customHeight="1">
      <c r="A12" s="28">
        <v>8.0</v>
      </c>
      <c r="B12" s="29">
        <v>1.0</v>
      </c>
      <c r="C12" s="30" t="s">
        <v>53</v>
      </c>
      <c r="D12" s="30" t="s">
        <v>54</v>
      </c>
      <c r="E12" s="29" t="s">
        <v>55</v>
      </c>
      <c r="F12" s="30" t="s">
        <v>56</v>
      </c>
      <c r="G12" s="29">
        <v>1715.0</v>
      </c>
      <c r="H12" s="31">
        <v>0.41</v>
      </c>
      <c r="I12" s="31">
        <f t="shared" si="1"/>
        <v>0.41</v>
      </c>
      <c r="J12" s="32" t="s">
        <v>57</v>
      </c>
    </row>
    <row r="13" ht="34.5" customHeight="1">
      <c r="A13" s="28">
        <v>9.0</v>
      </c>
      <c r="B13" s="29">
        <v>2.0</v>
      </c>
      <c r="C13" s="19" t="s">
        <v>38</v>
      </c>
      <c r="D13" s="30" t="s">
        <v>58</v>
      </c>
      <c r="E13" s="29" t="s">
        <v>59</v>
      </c>
      <c r="F13" s="30" t="s">
        <v>21</v>
      </c>
      <c r="G13" s="29" t="s">
        <v>60</v>
      </c>
      <c r="H13" s="31">
        <v>6.4</v>
      </c>
      <c r="I13" s="31">
        <f t="shared" si="1"/>
        <v>12.8</v>
      </c>
      <c r="J13" s="32" t="s">
        <v>61</v>
      </c>
    </row>
    <row r="14" ht="14.25" customHeight="1">
      <c r="A14" s="28">
        <v>10.0</v>
      </c>
      <c r="B14" s="29">
        <v>1.0</v>
      </c>
      <c r="C14" s="30" t="s">
        <v>62</v>
      </c>
      <c r="D14" s="30" t="s">
        <v>63</v>
      </c>
      <c r="E14" s="30" t="s">
        <v>63</v>
      </c>
      <c r="F14" s="30" t="s">
        <v>46</v>
      </c>
      <c r="G14" s="30" t="s">
        <v>64</v>
      </c>
      <c r="H14" s="31">
        <v>2.69</v>
      </c>
      <c r="I14" s="31">
        <f t="shared" si="1"/>
        <v>2.69</v>
      </c>
      <c r="J14" s="33" t="s">
        <v>65</v>
      </c>
    </row>
    <row r="15" ht="14.25" customHeight="1">
      <c r="A15" s="28">
        <v>11.0</v>
      </c>
      <c r="B15" s="29"/>
      <c r="C15" s="30"/>
      <c r="D15" s="29"/>
      <c r="E15" s="29"/>
      <c r="F15" s="30"/>
      <c r="G15" s="29"/>
      <c r="H15" s="31"/>
      <c r="I15" s="31">
        <f t="shared" si="1"/>
        <v>0</v>
      </c>
      <c r="J15" s="32"/>
    </row>
    <row r="16" ht="14.25" customHeight="1">
      <c r="A16" s="28">
        <v>12.0</v>
      </c>
      <c r="B16" s="29"/>
      <c r="C16" s="30"/>
      <c r="D16" s="29"/>
      <c r="E16" s="29"/>
      <c r="F16" s="30"/>
      <c r="G16" s="29"/>
      <c r="H16" s="31"/>
      <c r="I16" s="31">
        <f t="shared" si="1"/>
        <v>0</v>
      </c>
      <c r="J16" s="32"/>
    </row>
    <row r="17" ht="14.25" customHeight="1">
      <c r="A17" s="28">
        <v>13.0</v>
      </c>
      <c r="B17" s="29"/>
      <c r="C17" s="30"/>
      <c r="D17" s="29"/>
      <c r="E17" s="29"/>
      <c r="F17" s="30"/>
      <c r="G17" s="29"/>
      <c r="H17" s="31"/>
      <c r="I17" s="31">
        <f t="shared" si="1"/>
        <v>0</v>
      </c>
      <c r="J17" s="32"/>
    </row>
    <row r="18" ht="14.25" customHeight="1">
      <c r="A18" s="28">
        <v>14.0</v>
      </c>
      <c r="B18" s="29"/>
      <c r="C18" s="30"/>
      <c r="D18" s="29"/>
      <c r="E18" s="29"/>
      <c r="F18" s="30"/>
      <c r="G18" s="29"/>
      <c r="H18" s="31"/>
      <c r="I18" s="31">
        <f t="shared" si="1"/>
        <v>0</v>
      </c>
      <c r="J18" s="32"/>
    </row>
    <row r="19" ht="14.25" customHeight="1">
      <c r="A19" s="34">
        <v>15.0</v>
      </c>
      <c r="B19" s="35"/>
      <c r="C19" s="36"/>
      <c r="D19" s="35"/>
      <c r="E19" s="35"/>
      <c r="F19" s="36"/>
      <c r="G19" s="35"/>
      <c r="H19" s="37"/>
      <c r="I19" s="37">
        <f t="shared" si="1"/>
        <v>0</v>
      </c>
      <c r="J19" s="38"/>
    </row>
    <row r="20" ht="14.25" customHeight="1">
      <c r="G20" s="39" t="s">
        <v>66</v>
      </c>
      <c r="H20" s="40"/>
      <c r="I20" s="41">
        <f>SUM(I5:I19)</f>
        <v>62.5</v>
      </c>
      <c r="J20" s="42"/>
    </row>
    <row r="21" ht="14.25" customHeight="1">
      <c r="A21" s="43" t="s">
        <v>67</v>
      </c>
      <c r="B21" s="44"/>
      <c r="C21" s="44"/>
      <c r="D21" s="44"/>
      <c r="E21" s="45"/>
      <c r="G21" s="46" t="s">
        <v>68</v>
      </c>
      <c r="H21" s="2"/>
      <c r="I21" s="47">
        <f>I20*0.19</f>
        <v>11.875</v>
      </c>
    </row>
    <row r="22" ht="14.25" customHeight="1">
      <c r="A22" s="48" t="s">
        <v>69</v>
      </c>
      <c r="B22" s="49"/>
      <c r="C22" s="50" t="s">
        <v>70</v>
      </c>
      <c r="D22" s="51" t="s">
        <v>71</v>
      </c>
      <c r="E22" s="52"/>
      <c r="G22" s="46" t="s">
        <v>72</v>
      </c>
      <c r="H22" s="2"/>
      <c r="I22" s="53">
        <f>I20*1.19</f>
        <v>74.375</v>
      </c>
    </row>
    <row r="23" ht="14.25" customHeight="1">
      <c r="A23" s="54" t="s">
        <v>56</v>
      </c>
      <c r="B23" s="49"/>
      <c r="C23" s="55" t="s">
        <v>73</v>
      </c>
      <c r="D23" s="56" t="s">
        <v>74</v>
      </c>
      <c r="E23" s="52"/>
    </row>
    <row r="24" ht="14.25" customHeight="1">
      <c r="A24" s="54" t="s">
        <v>46</v>
      </c>
      <c r="B24" s="49"/>
      <c r="C24" s="55" t="s">
        <v>75</v>
      </c>
      <c r="D24" s="56" t="s">
        <v>76</v>
      </c>
      <c r="E24" s="52"/>
    </row>
    <row r="25" ht="14.25" customHeight="1">
      <c r="A25" s="54" t="s">
        <v>21</v>
      </c>
      <c r="B25" s="49"/>
      <c r="C25" s="55" t="s">
        <v>75</v>
      </c>
      <c r="D25" s="56" t="s">
        <v>77</v>
      </c>
      <c r="E25" s="52"/>
      <c r="H25" s="57" t="s">
        <v>78</v>
      </c>
    </row>
    <row r="26" ht="14.25" customHeight="1">
      <c r="A26" s="54" t="s">
        <v>79</v>
      </c>
      <c r="B26" s="49"/>
      <c r="C26" s="55" t="s">
        <v>75</v>
      </c>
      <c r="D26" s="56" t="s">
        <v>80</v>
      </c>
      <c r="E26" s="52"/>
    </row>
    <row r="27" ht="14.25" customHeight="1">
      <c r="A27" s="58" t="s">
        <v>31</v>
      </c>
      <c r="B27" s="59"/>
      <c r="C27" s="60"/>
      <c r="D27" s="61" t="s">
        <v>81</v>
      </c>
      <c r="E27" s="62"/>
    </row>
    <row r="28" ht="14.25" customHeight="1">
      <c r="A28" s="63" t="s">
        <v>82</v>
      </c>
      <c r="B28" s="64"/>
      <c r="C28" s="65" t="s">
        <v>75</v>
      </c>
      <c r="D28" s="66" t="s">
        <v>83</v>
      </c>
      <c r="E28" s="67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A42" s="68"/>
      <c r="B42" s="68"/>
      <c r="C42" s="69"/>
      <c r="D42" s="68"/>
      <c r="E42" s="69"/>
      <c r="F42" s="68"/>
      <c r="G42" s="68"/>
      <c r="H42" s="68"/>
      <c r="I42" s="68"/>
      <c r="J42" s="68"/>
    </row>
    <row r="43" ht="14.25" customHeight="1">
      <c r="A43" s="69"/>
      <c r="B43" s="69"/>
      <c r="C43" s="68"/>
      <c r="D43" s="69"/>
      <c r="E43" s="68"/>
      <c r="F43" s="68"/>
      <c r="G43" s="69"/>
      <c r="H43" s="69"/>
      <c r="I43" s="69"/>
      <c r="J43" s="70"/>
    </row>
    <row r="44" ht="14.25" customHeight="1">
      <c r="A44" s="69"/>
      <c r="B44" s="69"/>
      <c r="C44" s="68"/>
      <c r="D44" s="69"/>
      <c r="E44" s="69"/>
      <c r="F44" s="68"/>
      <c r="G44" s="69"/>
      <c r="H44" s="69"/>
      <c r="I44" s="69"/>
      <c r="J44" s="70"/>
    </row>
    <row r="45" ht="14.25" customHeight="1">
      <c r="A45" s="69"/>
      <c r="B45" s="69"/>
      <c r="C45" s="68"/>
      <c r="D45" s="68"/>
      <c r="E45" s="69"/>
      <c r="F45" s="68"/>
      <c r="G45" s="69"/>
      <c r="H45" s="69"/>
      <c r="I45" s="69"/>
      <c r="J45" s="70"/>
    </row>
    <row r="46" ht="14.25" customHeight="1">
      <c r="A46" s="69"/>
      <c r="B46" s="69"/>
      <c r="C46" s="68"/>
      <c r="D46" s="69"/>
      <c r="E46" s="69"/>
      <c r="F46" s="68"/>
      <c r="G46" s="69"/>
      <c r="H46" s="69"/>
      <c r="I46" s="69"/>
      <c r="J46" s="70"/>
    </row>
    <row r="47" ht="14.25" customHeight="1">
      <c r="A47" s="69"/>
      <c r="B47" s="69"/>
      <c r="C47" s="69"/>
      <c r="D47" s="69"/>
      <c r="E47" s="69"/>
      <c r="F47" s="68"/>
      <c r="G47" s="69"/>
      <c r="H47" s="69"/>
      <c r="I47" s="69"/>
      <c r="J47" s="70"/>
    </row>
    <row r="48" ht="14.25" customHeight="1">
      <c r="A48" s="69"/>
      <c r="B48" s="69"/>
      <c r="C48" s="68"/>
      <c r="D48" s="69"/>
      <c r="E48" s="69"/>
      <c r="F48" s="68"/>
      <c r="G48" s="69"/>
      <c r="H48" s="69"/>
      <c r="I48" s="69"/>
      <c r="J48" s="70"/>
    </row>
    <row r="49" ht="14.25" customHeight="1">
      <c r="A49" s="69"/>
      <c r="B49" s="69"/>
      <c r="C49" s="68"/>
      <c r="D49" s="69"/>
      <c r="E49" s="69"/>
      <c r="F49" s="68"/>
      <c r="G49" s="69"/>
      <c r="H49" s="69"/>
      <c r="I49" s="69"/>
      <c r="J49" s="7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G21:H21"/>
    <mergeCell ref="G22:H22"/>
    <mergeCell ref="D22:E22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1:B1"/>
    <mergeCell ref="H1:J1"/>
    <mergeCell ref="A2:B2"/>
    <mergeCell ref="H2:J2"/>
    <mergeCell ref="G20:H20"/>
    <mergeCell ref="A22:B22"/>
    <mergeCell ref="A23:B23"/>
  </mergeCells>
  <dataValidations>
    <dataValidation type="list" allowBlank="1" showErrorMessage="1" sqref="F5:F19">
      <formula1>$A$23:$A$27</formula1>
    </dataValidation>
  </dataValidations>
  <hyperlinks>
    <hyperlink r:id="rId1" ref="J5"/>
    <hyperlink r:id="rId2" ref="J6"/>
    <hyperlink r:id="rId3" ref="J7"/>
    <hyperlink r:id="rId4" location="closemodal" ref="J8"/>
    <hyperlink r:id="rId5" ref="J9"/>
    <hyperlink r:id="rId6" ref="J11"/>
    <hyperlink r:id="rId7" ref="J14"/>
    <hyperlink r:id="rId8" ref="D23"/>
    <hyperlink r:id="rId9" ref="D24"/>
    <hyperlink r:id="rId10" ref="D25"/>
    <hyperlink r:id="rId11" ref="D26"/>
    <hyperlink r:id="rId12" ref="D28"/>
  </hyperlinks>
  <printOptions/>
  <pageMargins bottom="0.75" footer="0.0" header="0.0" left="0.25" right="0.25" top="0.75"/>
  <pageSetup paperSize="9" orientation="landscape"/>
  <headerFooter>
    <oddHeader>&amp;CParts list Sensors and Actuator Networks</oddHeader>
  </headerFooter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2017-02-06T13:00:47Z</dcterms:created>
  <dc:creator>Muhs, Friedrich</dc:creator>
</cp:coreProperties>
</file>