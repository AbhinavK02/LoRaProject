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Sensors and Actuator Networks/Project/LoRaProject/B.0 System Design/"/>
    </mc:Choice>
  </mc:AlternateContent>
  <xr:revisionPtr revIDLastSave="1" documentId="11_0B94FD28D29E7218846096425211FFAF8DF1A14C" xr6:coauthVersionLast="47" xr6:coauthVersionMax="47" xr10:uidLastSave="{9ACB629B-E34F-48AA-BEB5-C09064A8D62A}"/>
  <bookViews>
    <workbookView xWindow="-108" yWindow="-108" windowWidth="23256" windowHeight="12456" xr2:uid="{00000000-000D-0000-FFFF-FFFF00000000}"/>
  </bookViews>
  <sheets>
    <sheet name="Par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KVw2IzvjH9uGvXE8S2qF2ZAHxQKbrr9nveVnU+0lw5g="/>
    </ext>
  </extLst>
</workbook>
</file>

<file path=xl/calcChain.xml><?xml version="1.0" encoding="utf-8"?>
<calcChain xmlns="http://schemas.openxmlformats.org/spreadsheetml/2006/main">
  <c r="I19" i="1" l="1"/>
  <c r="I18" i="1"/>
  <c r="I17" i="1"/>
  <c r="I16" i="1"/>
  <c r="I15" i="1"/>
  <c r="I14" i="1"/>
  <c r="I13" i="1"/>
  <c r="I12" i="1"/>
  <c r="I11" i="1"/>
  <c r="I10" i="1"/>
  <c r="I9" i="1"/>
  <c r="I8" i="1"/>
  <c r="I7" i="1"/>
  <c r="I20" i="1" s="1"/>
  <c r="I6" i="1"/>
  <c r="I5" i="1"/>
  <c r="I22" i="1" l="1"/>
  <c r="I21" i="1"/>
</calcChain>
</file>

<file path=xl/sharedStrings.xml><?xml version="1.0" encoding="utf-8"?>
<sst xmlns="http://schemas.openxmlformats.org/spreadsheetml/2006/main" count="99" uniqueCount="84">
  <si>
    <t>Group no.</t>
  </si>
  <si>
    <t>99</t>
  </si>
  <si>
    <t>Project</t>
  </si>
  <si>
    <t>The Talking Mail Box</t>
  </si>
  <si>
    <t>Date</t>
  </si>
  <si>
    <t>23.10.2025</t>
  </si>
  <si>
    <t>Team members</t>
  </si>
  <si>
    <t>Justin Chin Cheong, Abhinav Kothari</t>
  </si>
  <si>
    <t>No.</t>
  </si>
  <si>
    <t>Qty.</t>
  </si>
  <si>
    <t>manufacturer</t>
  </si>
  <si>
    <t>component</t>
  </si>
  <si>
    <t>ordering code (manufacturer)</t>
  </si>
  <si>
    <t>vendor</t>
  </si>
  <si>
    <t>ordering code (vendor)</t>
  </si>
  <si>
    <t>Price per unit €*</t>
  </si>
  <si>
    <t>Price €*</t>
  </si>
  <si>
    <t>Link</t>
  </si>
  <si>
    <t>IDUINO</t>
  </si>
  <si>
    <t>Tilt Sensor</t>
  </si>
  <si>
    <t>SE059</t>
  </si>
  <si>
    <t>Reichelt</t>
  </si>
  <si>
    <t>DEBO1 TILT</t>
  </si>
  <si>
    <t>https://www.reichelt.com/de/en/shop/product/developer_boards_-_tilt_switch_digital-282564</t>
  </si>
  <si>
    <t>SERTRONICS</t>
  </si>
  <si>
    <t>Light Dependent Resistor Developer board</t>
  </si>
  <si>
    <t>LIGHT-SENSOR</t>
  </si>
  <si>
    <t>DEBO LIGHT SENS</t>
  </si>
  <si>
    <t>https://www.reichelt.com/de/en/shop/product/developer_boards_-_light_sensor_with_high_low_output_lm393-224222</t>
  </si>
  <si>
    <t>Seeedstudio</t>
  </si>
  <si>
    <t>Xiao ESP32-S3 + Wio-SX1262</t>
  </si>
  <si>
    <t>Other</t>
  </si>
  <si>
    <t>SEE-25675</t>
  </si>
  <si>
    <t>https://botland.store/lora-lorawan/25675-xiao-esp32-s3-wio-sx1262-kit-for-meshtastic-and-loralorawan-seeedstudio-102010611-4897068320128.html#</t>
  </si>
  <si>
    <t>SOLDERED </t>
  </si>
  <si>
    <t>Li-Ion Akku</t>
  </si>
  <si>
    <t>AKKU SOLD333284</t>
  </si>
  <si>
    <t>https://www.reichelt.de/de/de/shop/produkt/li-ion_akku_soldered_333284_1800_mah_3_7_v-373548#closemodal</t>
  </si>
  <si>
    <t>Joy-It</t>
  </si>
  <si>
    <t>Arduino Pressure Sensor 20g to 10 kg</t>
  </si>
  <si>
    <t>SEN-PRESSURE10</t>
  </si>
  <si>
    <t>ARD SEN PRESSURE</t>
  </si>
  <si>
    <t>https://www.reichelt.com/de/en/shop/product/arduino_-_pressure_sensor_20_g_to_10_kg-284398</t>
  </si>
  <si>
    <t>DFRobot</t>
  </si>
  <si>
    <t>RP-L-170 Thin Pressure Sensor</t>
  </si>
  <si>
    <t>SEN0295</t>
  </si>
  <si>
    <t>Mouser</t>
  </si>
  <si>
    <t>426-SEN0295</t>
  </si>
  <si>
    <t>https://www.mouser.de/ProductDetail/DFRobot/SEN0295?qs=sGAEpiMZZMtVC8zYynLsnB%252B0BnHoQpS11Ar9j6uls6qWvOu%2FONLfcQ%3D%3D</t>
  </si>
  <si>
    <t>Adafruit</t>
  </si>
  <si>
    <t>Alpha MF02A-N-221-A01 FSR</t>
  </si>
  <si>
    <t>485-1075</t>
  </si>
  <si>
    <t>https://www.mouser.de/ProductDetail/Adafruit/1075?qs=GURawfaeGuDaOmXus2Zwlg%3D%3D&amp;srsltid=AfmBOoqPjGBxcbU3BVnAll4tdV4CWD0fP--ah08xwow2FXfFR49rX8Z8&amp;utm_source=chatgpt.com</t>
  </si>
  <si>
    <t>Microchip</t>
  </si>
  <si>
    <t>MCP6002 I/P Operationsverstärker Dual 1.8V 1MHz</t>
  </si>
  <si>
    <t>MCP6002</t>
  </si>
  <si>
    <t>HSRW</t>
  </si>
  <si>
    <t>https://www.mouser.de/ProductDetail/Microchip-Technology/MCP6002-I-P?qs=sGAEpiMZZMsxiS4eJwGuBtZupmX4AUSq</t>
  </si>
  <si>
    <t xml:space="preserve">Load cell + amplifier </t>
  </si>
  <si>
    <t>SEN-HX711-01</t>
  </si>
  <si>
    <t>DEBO HX711-01</t>
  </si>
  <si>
    <t>https://www.reichelt.com/de/en/shop/product/developer_boards_-_a_d_converter_-_balance-316296#closemodal</t>
  </si>
  <si>
    <t>Amphenol-SAA</t>
  </si>
  <si>
    <t>PIOV008NRAA-100</t>
  </si>
  <si>
    <t>523-PIOV008NRAA-100</t>
  </si>
  <si>
    <t>total price*</t>
  </si>
  <si>
    <t>List of suitable vendors:</t>
  </si>
  <si>
    <t>value added tax (VAT)</t>
  </si>
  <si>
    <t>shop</t>
  </si>
  <si>
    <t>language</t>
  </si>
  <si>
    <t>homepage</t>
  </si>
  <si>
    <t>total price inclusive VAT:</t>
  </si>
  <si>
    <t>en</t>
  </si>
  <si>
    <t>https://ee.hsrw.org/</t>
  </si>
  <si>
    <t>en/de</t>
  </si>
  <si>
    <t>https://www.mouser.de/</t>
  </si>
  <si>
    <t>https://www.reichelt.de/</t>
  </si>
  <si>
    <t>*without value added tax (VAT)</t>
  </si>
  <si>
    <t>Conrad</t>
  </si>
  <si>
    <t>https://www.conrad.biz/</t>
  </si>
  <si>
    <t>only when absolutely necessary</t>
  </si>
  <si>
    <t>Botland</t>
  </si>
  <si>
    <t xml:space="preserve">https://botland.store/ 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</si>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</sst>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</font>
    <font>
      <u/>
      <sz val="11"/>
      <color theme="10"/>
      <name val="Calibri"/>
    </font>
    <font>
      <sz val="10"/>
      <color rgb="FF333333"/>
      <name val="Arial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rgb="FF0000FF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/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49" fontId="3" fillId="0" borderId="3" xfId="0" applyNumberFormat="1" applyFont="1" applyBorder="1" applyAlignment="1">
      <alignment horizontal="right"/>
    </xf>
    <xf numFmtId="0" fontId="1" fillId="2" borderId="3" xfId="0" applyFont="1" applyFill="1" applyBorder="1"/>
    <xf numFmtId="14" fontId="3" fillId="0" borderId="3" xfId="0" applyNumberFormat="1" applyFont="1" applyBorder="1"/>
    <xf numFmtId="0" fontId="1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left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3" fillId="0" borderId="3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2" fontId="3" fillId="0" borderId="7" xfId="0" applyNumberFormat="1" applyFont="1" applyBorder="1" applyAlignment="1">
      <alignment horizontal="center" vertical="center"/>
    </xf>
    <xf numFmtId="2" fontId="6" fillId="0" borderId="7" xfId="0" applyNumberFormat="1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left" vertical="center" wrapText="1"/>
    </xf>
    <xf numFmtId="2" fontId="8" fillId="0" borderId="10" xfId="0" applyNumberFormat="1" applyFont="1" applyBorder="1" applyAlignment="1">
      <alignment horizontal="left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left" vertical="center" wrapText="1"/>
    </xf>
    <xf numFmtId="2" fontId="3" fillId="2" borderId="14" xfId="0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2" borderId="15" xfId="0" applyFont="1" applyFill="1" applyBorder="1"/>
    <xf numFmtId="0" fontId="3" fillId="2" borderId="16" xfId="0" applyFont="1" applyFill="1" applyBorder="1"/>
    <xf numFmtId="0" fontId="3" fillId="2" borderId="17" xfId="0" applyFont="1" applyFill="1" applyBorder="1"/>
    <xf numFmtId="2" fontId="3" fillId="2" borderId="3" xfId="0" applyNumberFormat="1" applyFont="1" applyFill="1" applyBorder="1" applyAlignment="1">
      <alignment horizontal="right" vertical="center"/>
    </xf>
    <xf numFmtId="0" fontId="1" fillId="2" borderId="20" xfId="0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right"/>
    </xf>
    <xf numFmtId="0" fontId="3" fillId="2" borderId="20" xfId="0" applyFont="1" applyFill="1" applyBorder="1" applyAlignment="1">
      <alignment horizontal="center"/>
    </xf>
    <xf numFmtId="0" fontId="11" fillId="0" borderId="0" xfId="0" applyFont="1"/>
    <xf numFmtId="0" fontId="3" fillId="2" borderId="16" xfId="0" applyFont="1" applyFill="1" applyBorder="1" applyAlignment="1">
      <alignment horizontal="center"/>
    </xf>
    <xf numFmtId="0" fontId="3" fillId="2" borderId="27" xfId="0" applyFont="1" applyFill="1" applyBorder="1"/>
    <xf numFmtId="0" fontId="3" fillId="2" borderId="28" xfId="0" applyFont="1" applyFill="1" applyBorder="1"/>
    <xf numFmtId="0" fontId="3" fillId="2" borderId="28" xfId="0" applyFont="1" applyFill="1" applyBorder="1" applyAlignment="1">
      <alignment horizontal="center"/>
    </xf>
    <xf numFmtId="0" fontId="13" fillId="2" borderId="28" xfId="0" applyFont="1" applyFill="1" applyBorder="1"/>
    <xf numFmtId="0" fontId="3" fillId="2" borderId="29" xfId="0" applyFont="1" applyFill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2" fillId="0" borderId="2" xfId="0" applyFont="1" applyBorder="1"/>
    <xf numFmtId="0" fontId="1" fillId="2" borderId="21" xfId="0" applyFont="1" applyFill="1" applyBorder="1" applyAlignment="1">
      <alignment horizontal="left"/>
    </xf>
    <xf numFmtId="0" fontId="2" fillId="0" borderId="22" xfId="0" applyFont="1" applyBorder="1"/>
    <xf numFmtId="0" fontId="10" fillId="2" borderId="21" xfId="0" applyFont="1" applyFill="1" applyBorder="1" applyAlignment="1">
      <alignment horizontal="left"/>
    </xf>
    <xf numFmtId="0" fontId="3" fillId="2" borderId="18" xfId="0" applyFont="1" applyFill="1" applyBorder="1" applyAlignment="1">
      <alignment horizontal="left"/>
    </xf>
    <xf numFmtId="0" fontId="2" fillId="0" borderId="19" xfId="0" applyFont="1" applyBorder="1"/>
    <xf numFmtId="0" fontId="3" fillId="2" borderId="23" xfId="0" applyFont="1" applyFill="1" applyBorder="1" applyAlignment="1">
      <alignment horizontal="left"/>
    </xf>
    <xf numFmtId="0" fontId="2" fillId="0" borderId="24" xfId="0" applyFont="1" applyBorder="1"/>
    <xf numFmtId="0" fontId="12" fillId="2" borderId="25" xfId="0" applyFont="1" applyFill="1" applyBorder="1" applyAlignment="1">
      <alignment horizontal="left"/>
    </xf>
    <xf numFmtId="0" fontId="2" fillId="0" borderId="26" xfId="0" applyFont="1" applyBorder="1"/>
    <xf numFmtId="0" fontId="1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4" xfId="0" applyFont="1" applyBorder="1"/>
    <xf numFmtId="14" fontId="3" fillId="0" borderId="1" xfId="0" applyNumberFormat="1" applyFont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" fillId="0" borderId="13" xfId="0" applyFont="1" applyBorder="1"/>
    <xf numFmtId="0" fontId="1" fillId="2" borderId="18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e.hsrw.org/" TargetMode="External"/><Relationship Id="rId3" Type="http://schemas.openxmlformats.org/officeDocument/2006/relationships/hyperlink" Target="https://botland.store/lora-lorawan/25675-xiao-esp32-s3-wio-sx1262-kit-for-meshtastic-and-loralorawan-seeedstudio-102010611-4897068320128.html" TargetMode="External"/><Relationship Id="rId7" Type="http://schemas.openxmlformats.org/officeDocument/2006/relationships/hyperlink" Target="https://www.mouser.de/ProductDetail/Amphenol-SAA/PIOV008NRAA-100?qs=GedFDFLaBXFCaCiGvxFhnA%3D%3D" TargetMode="External"/><Relationship Id="rId12" Type="http://schemas.openxmlformats.org/officeDocument/2006/relationships/hyperlink" Target="https://botland.store/" TargetMode="External"/><Relationship Id="rId2" Type="http://schemas.openxmlformats.org/officeDocument/2006/relationships/hyperlink" Target="https://www.reichelt.com/de/en/shop/product/developer_boards_-_light_sensor_with_high_low_output_lm393-224222" TargetMode="External"/><Relationship Id="rId1" Type="http://schemas.openxmlformats.org/officeDocument/2006/relationships/hyperlink" Target="https://www.reichelt.com/de/en/shop/product/developer_boards_-_tilt_switch_digital-282564" TargetMode="External"/><Relationship Id="rId6" Type="http://schemas.openxmlformats.org/officeDocument/2006/relationships/hyperlink" Target="https://www.mouser.de/ProductDetail/Adafruit/1075?qs=GURawfaeGuDaOmXus2Zwlg%3D%3D&amp;srsltid=AfmBOoqPjGBxcbU3BVnAll4tdV4CWD0fP--ah08xwow2FXfFR49rX8Z8&amp;utm_source=chatgpt.com" TargetMode="External"/><Relationship Id="rId11" Type="http://schemas.openxmlformats.org/officeDocument/2006/relationships/hyperlink" Target="https://www.conrad.biz/" TargetMode="External"/><Relationship Id="rId5" Type="http://schemas.openxmlformats.org/officeDocument/2006/relationships/hyperlink" Target="https://www.reichelt.com/de/en/shop/product/arduino_-_pressure_sensor_20_g_to_10_kg-284398" TargetMode="External"/><Relationship Id="rId10" Type="http://schemas.openxmlformats.org/officeDocument/2006/relationships/hyperlink" Target="https://www.reichelt.de/" TargetMode="External"/><Relationship Id="rId4" Type="http://schemas.openxmlformats.org/officeDocument/2006/relationships/hyperlink" Target="https://www.reichelt.de/de/de/shop/produkt/li-ion_akku_soldered_333284_1800_mah_3_7_v-373548" TargetMode="External"/><Relationship Id="rId9" Type="http://schemas.openxmlformats.org/officeDocument/2006/relationships/hyperlink" Target="https://www.mouser.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topLeftCell="A2" workbookViewId="0">
      <selection activeCell="J14" sqref="J14"/>
    </sheetView>
  </sheetViews>
  <sheetFormatPr defaultColWidth="14.42578125" defaultRowHeight="15" customHeight="1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3.7109375" customWidth="1"/>
    <col min="8" max="8" width="8.7109375" customWidth="1"/>
    <col min="9" max="9" width="6.5703125" customWidth="1"/>
    <col min="10" max="10" width="55.28515625" customWidth="1"/>
    <col min="11" max="26" width="11.5703125" customWidth="1"/>
  </cols>
  <sheetData>
    <row r="1" spans="1:10" ht="14.25" customHeight="1" x14ac:dyDescent="0.25">
      <c r="A1" s="64" t="s">
        <v>0</v>
      </c>
      <c r="B1" s="54"/>
      <c r="C1" s="1" t="s">
        <v>1</v>
      </c>
      <c r="G1" s="2" t="s">
        <v>2</v>
      </c>
      <c r="H1" s="65" t="s">
        <v>3</v>
      </c>
      <c r="I1" s="66"/>
      <c r="J1" s="54"/>
    </row>
    <row r="2" spans="1:10" ht="14.25" customHeight="1" x14ac:dyDescent="0.25">
      <c r="A2" s="64" t="s">
        <v>4</v>
      </c>
      <c r="B2" s="54"/>
      <c r="C2" s="3" t="s">
        <v>5</v>
      </c>
      <c r="G2" s="2" t="s">
        <v>6</v>
      </c>
      <c r="H2" s="67" t="s">
        <v>7</v>
      </c>
      <c r="I2" s="66"/>
      <c r="J2" s="54"/>
    </row>
    <row r="3" spans="1:10" ht="14.25" customHeight="1" x14ac:dyDescent="0.25"/>
    <row r="4" spans="1:10" ht="14.25" customHeight="1" x14ac:dyDescent="0.25">
      <c r="A4" s="4" t="s">
        <v>8</v>
      </c>
      <c r="B4" s="4" t="s">
        <v>9</v>
      </c>
      <c r="C4" s="4" t="s">
        <v>10</v>
      </c>
      <c r="D4" s="4" t="s">
        <v>11</v>
      </c>
      <c r="E4" s="4" t="s">
        <v>12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17</v>
      </c>
    </row>
    <row r="5" spans="1:10" ht="45.75" customHeight="1" x14ac:dyDescent="0.25">
      <c r="A5" s="5">
        <v>1</v>
      </c>
      <c r="B5" s="6">
        <v>1</v>
      </c>
      <c r="C5" s="7" t="s">
        <v>18</v>
      </c>
      <c r="D5" s="8" t="s">
        <v>19</v>
      </c>
      <c r="E5" s="8" t="s">
        <v>20</v>
      </c>
      <c r="F5" s="9" t="s">
        <v>21</v>
      </c>
      <c r="G5" s="9" t="s">
        <v>22</v>
      </c>
      <c r="H5" s="10">
        <v>0.94</v>
      </c>
      <c r="I5" s="10">
        <f t="shared" ref="I5:I19" si="0">H5*B5</f>
        <v>0.94</v>
      </c>
      <c r="J5" s="11" t="s">
        <v>23</v>
      </c>
    </row>
    <row r="6" spans="1:10" ht="14.25" customHeight="1" x14ac:dyDescent="0.25">
      <c r="A6" s="12">
        <v>2</v>
      </c>
      <c r="B6" s="13">
        <v>1</v>
      </c>
      <c r="C6" s="14" t="s">
        <v>24</v>
      </c>
      <c r="D6" s="15" t="s">
        <v>25</v>
      </c>
      <c r="E6" s="16" t="s">
        <v>26</v>
      </c>
      <c r="F6" s="14" t="s">
        <v>21</v>
      </c>
      <c r="G6" s="17" t="s">
        <v>27</v>
      </c>
      <c r="H6" s="18">
        <v>1.35</v>
      </c>
      <c r="I6" s="18">
        <f t="shared" si="0"/>
        <v>1.35</v>
      </c>
      <c r="J6" s="19" t="s">
        <v>28</v>
      </c>
    </row>
    <row r="7" spans="1:10" ht="14.25" customHeight="1" x14ac:dyDescent="0.25">
      <c r="A7" s="12">
        <v>3</v>
      </c>
      <c r="B7" s="13">
        <v>1</v>
      </c>
      <c r="C7" s="14" t="s">
        <v>29</v>
      </c>
      <c r="D7" s="20" t="s">
        <v>30</v>
      </c>
      <c r="E7" s="21">
        <v>102010611</v>
      </c>
      <c r="F7" s="14" t="s">
        <v>31</v>
      </c>
      <c r="G7" s="13" t="s">
        <v>32</v>
      </c>
      <c r="H7" s="18">
        <v>11.68</v>
      </c>
      <c r="I7" s="18">
        <f t="shared" si="0"/>
        <v>11.68</v>
      </c>
      <c r="J7" s="19" t="s">
        <v>33</v>
      </c>
    </row>
    <row r="8" spans="1:10" ht="14.25" customHeight="1" x14ac:dyDescent="0.25">
      <c r="A8" s="12">
        <v>4</v>
      </c>
      <c r="B8" s="13">
        <v>1</v>
      </c>
      <c r="C8" s="14" t="s">
        <v>34</v>
      </c>
      <c r="D8" s="13" t="s">
        <v>35</v>
      </c>
      <c r="E8" s="14">
        <v>333284</v>
      </c>
      <c r="F8" s="14" t="s">
        <v>21</v>
      </c>
      <c r="G8" s="14" t="s">
        <v>36</v>
      </c>
      <c r="H8" s="18">
        <v>8.57</v>
      </c>
      <c r="I8" s="18">
        <f t="shared" si="0"/>
        <v>8.57</v>
      </c>
      <c r="J8" s="19" t="s">
        <v>37</v>
      </c>
    </row>
    <row r="9" spans="1:10" ht="14.25" customHeight="1" x14ac:dyDescent="0.25">
      <c r="A9" s="12">
        <v>5</v>
      </c>
      <c r="B9" s="13">
        <v>1</v>
      </c>
      <c r="C9" s="14" t="s">
        <v>38</v>
      </c>
      <c r="D9" s="14" t="s">
        <v>39</v>
      </c>
      <c r="E9" s="14" t="s">
        <v>40</v>
      </c>
      <c r="F9" s="14" t="s">
        <v>21</v>
      </c>
      <c r="G9" s="22" t="s">
        <v>41</v>
      </c>
      <c r="H9" s="18">
        <v>5.15</v>
      </c>
      <c r="I9" s="18">
        <f t="shared" si="0"/>
        <v>5.15</v>
      </c>
      <c r="J9" s="19" t="s">
        <v>42</v>
      </c>
    </row>
    <row r="10" spans="1:10" ht="51" customHeight="1" x14ac:dyDescent="0.25">
      <c r="A10" s="12">
        <v>6</v>
      </c>
      <c r="B10" s="13">
        <v>1</v>
      </c>
      <c r="C10" s="14" t="s">
        <v>43</v>
      </c>
      <c r="D10" s="14" t="s">
        <v>44</v>
      </c>
      <c r="E10" s="13" t="s">
        <v>45</v>
      </c>
      <c r="F10" s="14" t="s">
        <v>46</v>
      </c>
      <c r="G10" s="13" t="s">
        <v>47</v>
      </c>
      <c r="H10" s="18">
        <v>5.59</v>
      </c>
      <c r="I10" s="18">
        <f t="shared" si="0"/>
        <v>5.59</v>
      </c>
      <c r="J10" s="19" t="s">
        <v>48</v>
      </c>
    </row>
    <row r="11" spans="1:10" ht="28.5" customHeight="1" x14ac:dyDescent="0.25">
      <c r="A11" s="23">
        <v>7</v>
      </c>
      <c r="B11" s="24">
        <v>2</v>
      </c>
      <c r="C11" s="25" t="s">
        <v>49</v>
      </c>
      <c r="D11" s="25" t="s">
        <v>50</v>
      </c>
      <c r="E11" s="24">
        <v>1075</v>
      </c>
      <c r="F11" s="25" t="s">
        <v>46</v>
      </c>
      <c r="G11" s="24" t="s">
        <v>51</v>
      </c>
      <c r="H11" s="26">
        <v>6.66</v>
      </c>
      <c r="I11" s="26">
        <f t="shared" si="0"/>
        <v>13.32</v>
      </c>
      <c r="J11" s="27" t="s">
        <v>52</v>
      </c>
    </row>
    <row r="12" spans="1:10" ht="14.25" customHeight="1" x14ac:dyDescent="0.25">
      <c r="A12" s="23">
        <v>8</v>
      </c>
      <c r="B12" s="24">
        <v>1</v>
      </c>
      <c r="C12" s="25" t="s">
        <v>53</v>
      </c>
      <c r="D12" s="25" t="s">
        <v>54</v>
      </c>
      <c r="E12" s="24" t="s">
        <v>55</v>
      </c>
      <c r="F12" s="25" t="s">
        <v>56</v>
      </c>
      <c r="G12" s="24">
        <v>1715</v>
      </c>
      <c r="H12" s="26">
        <v>0.41</v>
      </c>
      <c r="I12" s="26">
        <f t="shared" si="0"/>
        <v>0.41</v>
      </c>
      <c r="J12" s="27" t="s">
        <v>57</v>
      </c>
    </row>
    <row r="13" spans="1:10" ht="34.5" customHeight="1" x14ac:dyDescent="0.25">
      <c r="A13" s="23">
        <v>9</v>
      </c>
      <c r="B13" s="24">
        <v>2</v>
      </c>
      <c r="C13" s="14" t="s">
        <v>38</v>
      </c>
      <c r="D13" s="25" t="s">
        <v>58</v>
      </c>
      <c r="E13" s="24" t="s">
        <v>59</v>
      </c>
      <c r="F13" s="25" t="s">
        <v>21</v>
      </c>
      <c r="G13" s="24" t="s">
        <v>60</v>
      </c>
      <c r="H13" s="26">
        <v>6.4</v>
      </c>
      <c r="I13" s="26">
        <f t="shared" si="0"/>
        <v>12.8</v>
      </c>
      <c r="J13" s="27" t="s">
        <v>61</v>
      </c>
    </row>
    <row r="14" spans="1:10" ht="14.25" customHeight="1" x14ac:dyDescent="0.25">
      <c r="A14" s="23">
        <v>10</v>
      </c>
      <c r="B14" s="24">
        <v>1</v>
      </c>
      <c r="C14" s="25" t="s">
        <v>62</v>
      </c>
      <c r="D14" s="25" t="s">
        <v>63</v>
      </c>
      <c r="E14" s="25" t="s">
        <v>63</v>
      </c>
      <c r="F14" s="25" t="s">
        <v>46</v>
      </c>
      <c r="G14" s="25" t="s">
        <v>64</v>
      </c>
      <c r="H14" s="26">
        <v>2.69</v>
      </c>
      <c r="I14" s="26">
        <f t="shared" si="0"/>
        <v>2.69</v>
      </c>
      <c r="J14" s="28" t="s">
        <v>83</v>
      </c>
    </row>
    <row r="15" spans="1:10" ht="14.25" customHeight="1" x14ac:dyDescent="0.25">
      <c r="A15" s="23">
        <v>11</v>
      </c>
      <c r="B15" s="24"/>
      <c r="C15" s="25"/>
      <c r="D15" s="24"/>
      <c r="E15" s="24"/>
      <c r="F15" s="25"/>
      <c r="G15" s="24"/>
      <c r="H15" s="26"/>
      <c r="I15" s="26">
        <f t="shared" si="0"/>
        <v>0</v>
      </c>
      <c r="J15" s="27"/>
    </row>
    <row r="16" spans="1:10" ht="14.25" customHeight="1" x14ac:dyDescent="0.25">
      <c r="A16" s="23">
        <v>12</v>
      </c>
      <c r="B16" s="24"/>
      <c r="C16" s="25"/>
      <c r="D16" s="24"/>
      <c r="E16" s="24"/>
      <c r="F16" s="25"/>
      <c r="G16" s="24"/>
      <c r="H16" s="26"/>
      <c r="I16" s="26">
        <f t="shared" si="0"/>
        <v>0</v>
      </c>
      <c r="J16" s="27"/>
    </row>
    <row r="17" spans="1:10" ht="14.25" customHeight="1" x14ac:dyDescent="0.25">
      <c r="A17" s="23">
        <v>13</v>
      </c>
      <c r="B17" s="24"/>
      <c r="C17" s="25"/>
      <c r="D17" s="24"/>
      <c r="E17" s="24"/>
      <c r="F17" s="25"/>
      <c r="G17" s="24"/>
      <c r="H17" s="26"/>
      <c r="I17" s="26">
        <f t="shared" si="0"/>
        <v>0</v>
      </c>
      <c r="J17" s="27"/>
    </row>
    <row r="18" spans="1:10" ht="14.25" customHeight="1" x14ac:dyDescent="0.25">
      <c r="A18" s="23">
        <v>14</v>
      </c>
      <c r="B18" s="24"/>
      <c r="C18" s="25"/>
      <c r="D18" s="24"/>
      <c r="E18" s="24"/>
      <c r="F18" s="25"/>
      <c r="G18" s="24"/>
      <c r="H18" s="26"/>
      <c r="I18" s="26">
        <f t="shared" si="0"/>
        <v>0</v>
      </c>
      <c r="J18" s="27"/>
    </row>
    <row r="19" spans="1:10" ht="14.25" customHeight="1" x14ac:dyDescent="0.25">
      <c r="A19" s="29">
        <v>15</v>
      </c>
      <c r="B19" s="30"/>
      <c r="C19" s="31"/>
      <c r="D19" s="30"/>
      <c r="E19" s="30"/>
      <c r="F19" s="31"/>
      <c r="G19" s="30"/>
      <c r="H19" s="32"/>
      <c r="I19" s="32">
        <f t="shared" si="0"/>
        <v>0</v>
      </c>
      <c r="J19" s="33"/>
    </row>
    <row r="20" spans="1:10" ht="14.25" customHeight="1" x14ac:dyDescent="0.25">
      <c r="G20" s="68" t="s">
        <v>65</v>
      </c>
      <c r="H20" s="69"/>
      <c r="I20" s="34">
        <f>SUM(I5:I19)</f>
        <v>62.5</v>
      </c>
      <c r="J20" s="35"/>
    </row>
    <row r="21" spans="1:10" ht="14.25" customHeight="1" x14ac:dyDescent="0.25">
      <c r="A21" s="36" t="s">
        <v>66</v>
      </c>
      <c r="B21" s="37"/>
      <c r="C21" s="37"/>
      <c r="D21" s="37"/>
      <c r="E21" s="38"/>
      <c r="G21" s="53" t="s">
        <v>67</v>
      </c>
      <c r="H21" s="54"/>
      <c r="I21" s="39">
        <f>I20*0.19</f>
        <v>11.875</v>
      </c>
    </row>
    <row r="22" spans="1:10" ht="14.25" customHeight="1" x14ac:dyDescent="0.25">
      <c r="A22" s="70" t="s">
        <v>68</v>
      </c>
      <c r="B22" s="59"/>
      <c r="C22" s="40" t="s">
        <v>69</v>
      </c>
      <c r="D22" s="55" t="s">
        <v>70</v>
      </c>
      <c r="E22" s="56"/>
      <c r="G22" s="53" t="s">
        <v>71</v>
      </c>
      <c r="H22" s="54"/>
      <c r="I22" s="41">
        <f>I20*1.19</f>
        <v>74.375</v>
      </c>
    </row>
    <row r="23" spans="1:10" ht="14.25" customHeight="1" x14ac:dyDescent="0.25">
      <c r="A23" s="58" t="s">
        <v>56</v>
      </c>
      <c r="B23" s="59"/>
      <c r="C23" s="42" t="s">
        <v>72</v>
      </c>
      <c r="D23" s="57" t="s">
        <v>73</v>
      </c>
      <c r="E23" s="56"/>
    </row>
    <row r="24" spans="1:10" ht="14.25" customHeight="1" x14ac:dyDescent="0.25">
      <c r="A24" s="58" t="s">
        <v>46</v>
      </c>
      <c r="B24" s="59"/>
      <c r="C24" s="42" t="s">
        <v>74</v>
      </c>
      <c r="D24" s="57" t="s">
        <v>75</v>
      </c>
      <c r="E24" s="56"/>
    </row>
    <row r="25" spans="1:10" ht="14.25" customHeight="1" x14ac:dyDescent="0.25">
      <c r="A25" s="58" t="s">
        <v>21</v>
      </c>
      <c r="B25" s="59"/>
      <c r="C25" s="42" t="s">
        <v>74</v>
      </c>
      <c r="D25" s="57" t="s">
        <v>76</v>
      </c>
      <c r="E25" s="56"/>
      <c r="H25" s="43" t="s">
        <v>77</v>
      </c>
    </row>
    <row r="26" spans="1:10" ht="14.25" customHeight="1" x14ac:dyDescent="0.25">
      <c r="A26" s="58" t="s">
        <v>78</v>
      </c>
      <c r="B26" s="59"/>
      <c r="C26" s="42" t="s">
        <v>74</v>
      </c>
      <c r="D26" s="57" t="s">
        <v>79</v>
      </c>
      <c r="E26" s="56"/>
    </row>
    <row r="27" spans="1:10" ht="14.25" customHeight="1" x14ac:dyDescent="0.25">
      <c r="A27" s="60" t="s">
        <v>31</v>
      </c>
      <c r="B27" s="61"/>
      <c r="C27" s="44"/>
      <c r="D27" s="62" t="s">
        <v>80</v>
      </c>
      <c r="E27" s="63"/>
    </row>
    <row r="28" spans="1:10" ht="14.25" customHeight="1" x14ac:dyDescent="0.25">
      <c r="A28" s="45" t="s">
        <v>81</v>
      </c>
      <c r="B28" s="46"/>
      <c r="C28" s="47" t="s">
        <v>74</v>
      </c>
      <c r="D28" s="48" t="s">
        <v>82</v>
      </c>
      <c r="E28" s="49"/>
    </row>
    <row r="29" spans="1:10" ht="14.25" customHeight="1" x14ac:dyDescent="0.25"/>
    <row r="30" spans="1:10" ht="14.25" customHeight="1" x14ac:dyDescent="0.25"/>
    <row r="31" spans="1:10" ht="14.25" customHeight="1" x14ac:dyDescent="0.25"/>
    <row r="32" spans="1:10" ht="14.25" customHeight="1" x14ac:dyDescent="0.25"/>
    <row r="33" spans="1:10" ht="14.25" customHeight="1" x14ac:dyDescent="0.25"/>
    <row r="34" spans="1:10" ht="14.25" customHeight="1" x14ac:dyDescent="0.25"/>
    <row r="35" spans="1:10" ht="14.25" customHeight="1" x14ac:dyDescent="0.25"/>
    <row r="36" spans="1:10" ht="14.25" customHeight="1" x14ac:dyDescent="0.25"/>
    <row r="37" spans="1:10" ht="14.25" customHeight="1" x14ac:dyDescent="0.25"/>
    <row r="38" spans="1:10" ht="14.25" customHeight="1" x14ac:dyDescent="0.25"/>
    <row r="39" spans="1:10" ht="14.25" customHeight="1" x14ac:dyDescent="0.25"/>
    <row r="40" spans="1:10" ht="14.25" customHeight="1" x14ac:dyDescent="0.25"/>
    <row r="41" spans="1:10" ht="14.25" customHeight="1" x14ac:dyDescent="0.25"/>
    <row r="42" spans="1:10" ht="14.25" customHeight="1" x14ac:dyDescent="0.25">
      <c r="A42" s="50"/>
      <c r="B42" s="50"/>
      <c r="C42" s="51"/>
      <c r="D42" s="50"/>
      <c r="E42" s="51"/>
      <c r="F42" s="50"/>
      <c r="G42" s="50"/>
      <c r="H42" s="50"/>
      <c r="I42" s="50"/>
      <c r="J42" s="50"/>
    </row>
    <row r="43" spans="1:10" ht="14.25" customHeight="1" x14ac:dyDescent="0.25">
      <c r="A43" s="51"/>
      <c r="B43" s="51"/>
      <c r="C43" s="50"/>
      <c r="D43" s="51"/>
      <c r="E43" s="50"/>
      <c r="F43" s="50"/>
      <c r="G43" s="51"/>
      <c r="H43" s="51"/>
      <c r="I43" s="51"/>
      <c r="J43" s="52"/>
    </row>
    <row r="44" spans="1:10" ht="14.25" customHeight="1" x14ac:dyDescent="0.25">
      <c r="A44" s="51"/>
      <c r="B44" s="51"/>
      <c r="C44" s="50"/>
      <c r="D44" s="51"/>
      <c r="E44" s="51"/>
      <c r="F44" s="50"/>
      <c r="G44" s="51"/>
      <c r="H44" s="51"/>
      <c r="I44" s="51"/>
      <c r="J44" s="52"/>
    </row>
    <row r="45" spans="1:10" ht="14.25" customHeight="1" x14ac:dyDescent="0.25">
      <c r="A45" s="51"/>
      <c r="B45" s="51"/>
      <c r="C45" s="50"/>
      <c r="D45" s="50"/>
      <c r="E45" s="51"/>
      <c r="F45" s="50"/>
      <c r="G45" s="51"/>
      <c r="H45" s="51"/>
      <c r="I45" s="51"/>
      <c r="J45" s="52"/>
    </row>
    <row r="46" spans="1:10" ht="14.25" customHeight="1" x14ac:dyDescent="0.25">
      <c r="A46" s="51"/>
      <c r="B46" s="51"/>
      <c r="C46" s="50"/>
      <c r="D46" s="51"/>
      <c r="E46" s="51"/>
      <c r="F46" s="50"/>
      <c r="G46" s="51"/>
      <c r="H46" s="51"/>
      <c r="I46" s="51"/>
      <c r="J46" s="52"/>
    </row>
    <row r="47" spans="1:10" ht="14.25" customHeight="1" x14ac:dyDescent="0.25">
      <c r="A47" s="51"/>
      <c r="B47" s="51"/>
      <c r="C47" s="51"/>
      <c r="D47" s="51"/>
      <c r="E47" s="51"/>
      <c r="F47" s="50"/>
      <c r="G47" s="51"/>
      <c r="H47" s="51"/>
      <c r="I47" s="51"/>
      <c r="J47" s="52"/>
    </row>
    <row r="48" spans="1:10" ht="14.25" customHeight="1" x14ac:dyDescent="0.25">
      <c r="A48" s="51"/>
      <c r="B48" s="51"/>
      <c r="C48" s="50"/>
      <c r="D48" s="51"/>
      <c r="E48" s="51"/>
      <c r="F48" s="50"/>
      <c r="G48" s="51"/>
      <c r="H48" s="51"/>
      <c r="I48" s="51"/>
      <c r="J48" s="52"/>
    </row>
    <row r="49" spans="1:10" ht="14.25" customHeight="1" x14ac:dyDescent="0.25">
      <c r="A49" s="51"/>
      <c r="B49" s="51"/>
      <c r="C49" s="50"/>
      <c r="D49" s="51"/>
      <c r="E49" s="51"/>
      <c r="F49" s="50"/>
      <c r="G49" s="51"/>
      <c r="H49" s="51"/>
      <c r="I49" s="51"/>
      <c r="J49" s="52"/>
    </row>
    <row r="50" spans="1:10" ht="14.25" customHeight="1" x14ac:dyDescent="0.25"/>
    <row r="51" spans="1:10" ht="14.25" customHeight="1" x14ac:dyDescent="0.25"/>
    <row r="52" spans="1:10" ht="14.25" customHeight="1" x14ac:dyDescent="0.25"/>
    <row r="53" spans="1:10" ht="14.25" customHeight="1" x14ac:dyDescent="0.25"/>
    <row r="54" spans="1:10" ht="14.25" customHeight="1" x14ac:dyDescent="0.25"/>
    <row r="55" spans="1:10" ht="14.25" customHeight="1" x14ac:dyDescent="0.25"/>
    <row r="56" spans="1:10" ht="14.25" customHeight="1" x14ac:dyDescent="0.25"/>
    <row r="57" spans="1:10" ht="14.25" customHeight="1" x14ac:dyDescent="0.25"/>
    <row r="58" spans="1:10" ht="14.25" customHeight="1" x14ac:dyDescent="0.25"/>
    <row r="59" spans="1:10" ht="14.25" customHeight="1" x14ac:dyDescent="0.25"/>
    <row r="60" spans="1:10" ht="14.25" customHeight="1" x14ac:dyDescent="0.25"/>
    <row r="61" spans="1:10" ht="14.25" customHeight="1" x14ac:dyDescent="0.25"/>
    <row r="62" spans="1:10" ht="14.25" customHeight="1" x14ac:dyDescent="0.25"/>
    <row r="63" spans="1:10" ht="14.25" customHeight="1" x14ac:dyDescent="0.25"/>
    <row r="64" spans="1:10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9">
    <mergeCell ref="A1:B1"/>
    <mergeCell ref="H1:J1"/>
    <mergeCell ref="A2:B2"/>
    <mergeCell ref="H2:J2"/>
    <mergeCell ref="G20:H20"/>
    <mergeCell ref="A25:B25"/>
    <mergeCell ref="D25:E25"/>
    <mergeCell ref="A26:B26"/>
    <mergeCell ref="D26:E26"/>
    <mergeCell ref="A27:B27"/>
    <mergeCell ref="D27:E27"/>
    <mergeCell ref="G21:H21"/>
    <mergeCell ref="G22:H22"/>
    <mergeCell ref="D22:E22"/>
    <mergeCell ref="D23:E23"/>
    <mergeCell ref="A24:B24"/>
    <mergeCell ref="D24:E24"/>
    <mergeCell ref="A22:B22"/>
    <mergeCell ref="A23:B23"/>
  </mergeCells>
  <dataValidations count="1">
    <dataValidation type="list" allowBlank="1" showErrorMessage="1" sqref="F5:F19" xr:uid="{00000000-0002-0000-0000-000000000000}">
      <formula1>$A$23:$A$27</formula1>
    </dataValidation>
  </dataValidations>
  <hyperlinks>
    <hyperlink ref="J5" r:id="rId1" xr:uid="{00000000-0004-0000-0000-000000000000}"/>
    <hyperlink ref="J6" r:id="rId2" xr:uid="{00000000-0004-0000-0000-000001000000}"/>
    <hyperlink ref="J7" r:id="rId3" xr:uid="{00000000-0004-0000-0000-000002000000}"/>
    <hyperlink ref="J8" r:id="rId4" location="closemodal" xr:uid="{00000000-0004-0000-0000-000003000000}"/>
    <hyperlink ref="J9" r:id="rId5" xr:uid="{00000000-0004-0000-0000-000004000000}"/>
    <hyperlink ref="J11" r:id="rId6" xr:uid="{00000000-0004-0000-0000-000005000000}"/>
    <hyperlink ref="J14" r:id="rId7" display="https://www.mouser.de/ProductDetail/Amphenol-SAA/PIOV008NRAA-100?qs=GedFDFLaBXFCaCiGvxFhnA%3D%3D" xr:uid="{00000000-0004-0000-0000-000006000000}"/>
    <hyperlink ref="D23" r:id="rId8" xr:uid="{00000000-0004-0000-0000-000007000000}"/>
    <hyperlink ref="D24" r:id="rId9" xr:uid="{00000000-0004-0000-0000-000008000000}"/>
    <hyperlink ref="D25" r:id="rId10" xr:uid="{00000000-0004-0000-0000-000009000000}"/>
    <hyperlink ref="D26" r:id="rId11" xr:uid="{00000000-0004-0000-0000-00000A000000}"/>
    <hyperlink ref="D28" r:id="rId12" xr:uid="{00000000-0004-0000-0000-00000B000000}"/>
  </hyperlinks>
  <pageMargins left="0.25" right="0.25" top="0.75" bottom="0.75" header="0" footer="0"/>
  <pageSetup paperSize="9" orientation="landscape"/>
  <headerFooter>
    <oddHeader>&amp;CParts list Sensors and Actuator Networks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dcterms:created xsi:type="dcterms:W3CDTF">2017-02-06T13:00:47Z</dcterms:created>
  <dcterms:modified xsi:type="dcterms:W3CDTF">2025-12-24T15:39:15Z</dcterms:modified>
</cp:coreProperties>
</file>