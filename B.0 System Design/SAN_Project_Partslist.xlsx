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LoRaProject\B.0 System Design\"/>
    </mc:Choice>
  </mc:AlternateContent>
  <xr:revisionPtr revIDLastSave="0" documentId="13_ncr:1_{4B84344F-A1E2-4550-9753-47CC572F610C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9" i="5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<sst xmlns="http://schemas.openxmlformats.org/spreadsheetml/2006/main" count="87" uniqueCount="76">
  <si>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</si>
  <si>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</si>
  <si>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</si>
  <si>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</si>
  <si>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</si>
  <si>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</si>
  <si>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</si>
  <si>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</si>
  <si>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</si>
  <si>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</si>
  <si>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</si>
  <si>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</si>
  <si>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</si>
  <si>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</si>
  <si>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</si>
  <si>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</si>
  <si>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</si>
  <si>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</si>
  <si>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</si>
  <si>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</si>
  <si>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</si>
  <si>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</si>
  <si>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</si>
  <si>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</si>
  <si>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</si>
  <si>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</si>
  <si>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</si>
  <si>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</si>
  <si>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</si>
  <si>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</si>
  <si>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</si>
  <si>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</si>
  <si>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</si>
  <si>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</si>
  <si>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</si>
  <si>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OncQue</t>
  </si>
  <si>
    <t>Tilt Sensor</t>
  </si>
  <si>
    <t>RBS311104</t>
  </si>
  <si>
    <t>108-RBS311104</t>
  </si>
  <si>
    <t>The Talking Mail Box</t>
  </si>
  <si>
    <t>23.10.2025</t>
  </si>
  <si>
    <t>https://www.mouser.de/ProductDetail/OncQue/RBS311104?qs=vLWxofP3U2xt1WrTkjX1Tw%3D%3D&amp;srsltid=AfmBOoqdhTIoc0kIserusSkVT5O9F8iPyazeGcFv_lkha0m4bFUg7KWj&amp;utm_source=chatgpt.com</t>
  </si>
  <si>
    <t>Advanced Photonix</t>
  </si>
  <si>
    <t>Light Dependent Resistor</t>
  </si>
  <si>
    <t>PDV-P9203</t>
  </si>
  <si>
    <t>846-PDV-P9203</t>
  </si>
  <si>
    <t>https://www.mouser.de/ProductDetail/Advanced-Photonix/PDV-P9203?qs=tlsG%2FOw5FFhjrO9EYnuJlg%3D%3D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</si>
  <si>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</si>
  <si>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</si>
  <si>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</si>
  <si>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</si>
  <si>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</si>
  <si>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</si>
  <si>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</si>
  <si>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</si>
  <si>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</si>
  <si>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</si>
  <si>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</si>
  <si>
    <t>Joy-It</t>
  </si>
  <si>
    <t>SEN-PRESSURE10</t>
  </si>
  <si>
    <t>ARD SEN PRESSURE</t>
  </si>
  <si>
    <t>https://www.reichelt.com/de/en/shop/product/arduino_-_pressure_sensor_20_g_to_10_kg-284398</t>
  </si>
  <si>
    <t>Arduino Pressure Sensor 20g to 10 kg</t>
  </si>
  <si>
    <t>SEN0295</t>
  </si>
  <si>
    <t>426-SEN0295</t>
  </si>
  <si>
    <t>DFRobot</t>
  </si>
  <si>
    <t>https://www.mouser.de/ProductDetail/DFRobot/SEN0295?qs=sGAEpiMZZMtVC8zYynLsnB%252B0BnHoQpS11Ar9j6uls6qWvOu%2FONLfcQ%3D%3D</t>
  </si>
  <si>
    <t>RP-L-170 Thin Pressure Sensor</t>
  </si>
  <si>
    <t>Adafruit</t>
  </si>
  <si>
    <t>485-1075</t>
  </si>
  <si>
    <t>https://www.mouser.de/ProductDetail/Adafruit/1075?qs=GURawfaeGuDaOmXus2Zwlg%3D%3D&amp;srsltid=AfmBOoqPjGBxcbU3BVnAll4tdV4CWD0fP--ah08xwow2FXfFR49rX8Z8&amp;utm_source=chatgpt.com</t>
  </si>
  <si>
    <t>Alpha MF02A-N-221-A01 FSR</t>
  </si>
  <si>
    <t>MCP6002</t>
  </si>
  <si>
    <t>https://www.mouser.de/ProductDetail/Microchip-Technology/MCP6002-I-P?qs=sGAEpiMZZMsxiS4eJwGuBtZupmX4AUSq</t>
  </si>
  <si>
    <t>MCP6002 I/P Operationsverstärker Dual 1.8V 1MHz</t>
  </si>
  <si>
    <t>Microchip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</si>
</sst>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wrapText="1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2" xfId="0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  <xf numFmtId="49" fontId="0" fillId="0" borderId="4" xfId="0" applyNumberFormat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arduino_-_pressure_sensor_20_g_to_10_kg-284398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reichelt.de/de/de/shop/produkt/li-ion_akku_soldered_333284_1800_mah_3_7_v-373548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6" zoomScaleNormal="100" workbookViewId="0">
      <selection activeCell="D12" sqref="D12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3.664062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9" t="s">
        <v>18</v>
      </c>
      <c r="B1" s="50"/>
      <c r="C1" s="20" t="s">
        <v>23</v>
      </c>
      <c r="G1" s="6" t="s">
        <v>24</v>
      </c>
      <c r="H1" s="45" t="s">
        <v>39</v>
      </c>
      <c r="I1" s="45"/>
      <c r="J1" s="45"/>
    </row>
    <row r="2" spans="1:10" x14ac:dyDescent="0.3">
      <c r="A2" s="49" t="s">
        <v>21</v>
      </c>
      <c r="B2" s="50"/>
      <c r="C2" s="21" t="s">
        <v>40</v>
      </c>
      <c r="G2" s="6" t="s">
        <v>20</v>
      </c>
      <c r="H2" s="46" t="s">
        <v>57</v>
      </c>
      <c r="I2" s="46"/>
      <c r="J2" s="46"/>
    </row>
    <row r="4" spans="1:10" ht="43.2" x14ac:dyDescent="0.3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7">
        <v>1</v>
      </c>
      <c r="B5" s="22">
        <v>1</v>
      </c>
      <c r="C5" s="23" t="s">
        <v>35</v>
      </c>
      <c r="D5" s="23" t="s">
        <v>36</v>
      </c>
      <c r="E5" s="23" t="s">
        <v>37</v>
      </c>
      <c r="F5" s="23" t="s">
        <v>31</v>
      </c>
      <c r="G5" s="23" t="s">
        <v>38</v>
      </c>
      <c r="H5" s="24">
        <v>3</v>
      </c>
      <c r="I5" s="24">
        <f>H5*B5</f>
        <v>3</v>
      </c>
      <c r="J5" s="25" t="s">
        <v>41</v>
      </c>
    </row>
    <row r="6" spans="1:10" ht="28.8" x14ac:dyDescent="0.3">
      <c r="A6" s="8">
        <v>2</v>
      </c>
      <c r="B6" s="26">
        <v>1</v>
      </c>
      <c r="C6" s="27" t="s">
        <v>42</v>
      </c>
      <c r="D6" s="35" t="s">
        <v>43</v>
      </c>
      <c r="E6" s="26" t="s">
        <v>44</v>
      </c>
      <c r="F6" s="27" t="s">
        <v>31</v>
      </c>
      <c r="G6" s="36" t="s">
        <v>45</v>
      </c>
      <c r="H6" s="28">
        <v>0.88</v>
      </c>
      <c r="I6" s="28">
        <f t="shared" ref="I6:I18" si="0">H6*B6</f>
        <v>0.88</v>
      </c>
      <c r="J6" s="37" t="s">
        <v>46</v>
      </c>
    </row>
    <row r="7" spans="1:10" ht="43.2" x14ac:dyDescent="0.3">
      <c r="A7" s="8">
        <v>3</v>
      </c>
      <c r="B7" s="26">
        <v>1</v>
      </c>
      <c r="C7" s="27" t="s">
        <v>47</v>
      </c>
      <c r="D7" s="27" t="s">
        <v>48</v>
      </c>
      <c r="E7" s="26">
        <v>102010611</v>
      </c>
      <c r="F7" s="27" t="s">
        <v>29</v>
      </c>
      <c r="G7" s="26" t="s">
        <v>49</v>
      </c>
      <c r="H7" s="28">
        <v>11.68</v>
      </c>
      <c r="I7" s="28">
        <f t="shared" si="0"/>
        <v>11.68</v>
      </c>
      <c r="J7" s="37" t="s">
        <v>50</v>
      </c>
    </row>
    <row r="8" spans="1:10" ht="43.2" x14ac:dyDescent="0.3">
      <c r="A8" s="8">
        <v>4</v>
      </c>
      <c r="B8" s="26">
        <v>1</v>
      </c>
      <c r="C8" s="27" t="s">
        <v>52</v>
      </c>
      <c r="D8" s="26" t="s">
        <v>51</v>
      </c>
      <c r="E8" s="27">
        <v>333284</v>
      </c>
      <c r="F8" s="27" t="s">
        <v>32</v>
      </c>
      <c r="G8" s="27" t="s">
        <v>53</v>
      </c>
      <c r="H8" s="28">
        <v>8.57</v>
      </c>
      <c r="I8" s="28">
        <f t="shared" si="0"/>
        <v>8.57</v>
      </c>
      <c r="J8" s="37" t="s">
        <v>54</v>
      </c>
    </row>
    <row r="9" spans="1:10" ht="43.2" x14ac:dyDescent="0.3">
      <c r="A9" s="8">
        <v>5</v>
      </c>
      <c r="B9" s="26">
        <v>1</v>
      </c>
      <c r="C9" s="27" t="s">
        <v>58</v>
      </c>
      <c r="D9" s="27" t="s">
        <v>62</v>
      </c>
      <c r="E9" s="27" t="s">
        <v>59</v>
      </c>
      <c r="F9" s="27" t="s">
        <v>32</v>
      </c>
      <c r="G9" s="62" t="s">
        <v>60</v>
      </c>
      <c r="H9" s="28">
        <v>5.15</v>
      </c>
      <c r="I9" s="28">
        <f t="shared" si="0"/>
        <v>5.15</v>
      </c>
      <c r="J9" s="37" t="s">
        <v>61</v>
      </c>
    </row>
    <row r="10" spans="1:10" ht="34.200000000000003" customHeight="1" x14ac:dyDescent="0.3">
      <c r="A10" s="8">
        <v>6</v>
      </c>
      <c r="B10" s="26">
        <v>1</v>
      </c>
      <c r="C10" s="27" t="s">
        <v>65</v>
      </c>
      <c r="D10" s="27" t="s">
        <v>67</v>
      </c>
      <c r="E10" s="26" t="s">
        <v>63</v>
      </c>
      <c r="F10" s="27" t="s">
        <v>31</v>
      </c>
      <c r="G10" s="26" t="s">
        <v>64</v>
      </c>
      <c r="H10" s="28">
        <v>5.59</v>
      </c>
      <c r="I10" s="28">
        <f t="shared" si="0"/>
        <v>5.59</v>
      </c>
      <c r="J10" s="37" t="s">
        <v>66</v>
      </c>
    </row>
    <row r="11" spans="1:10" ht="28.8" customHeight="1" x14ac:dyDescent="0.3">
      <c r="A11" s="9">
        <v>7</v>
      </c>
      <c r="B11" s="29">
        <v>2</v>
      </c>
      <c r="C11" s="30" t="s">
        <v>68</v>
      </c>
      <c r="D11" s="30" t="s">
        <v>71</v>
      </c>
      <c r="E11" s="29">
        <v>1075</v>
      </c>
      <c r="F11" s="30" t="s">
        <v>31</v>
      </c>
      <c r="G11" s="29" t="s">
        <v>69</v>
      </c>
      <c r="H11" s="31">
        <v>6.66</v>
      </c>
      <c r="I11" s="31">
        <f t="shared" si="0"/>
        <v>13.32</v>
      </c>
      <c r="J11" s="38" t="s">
        <v>70</v>
      </c>
    </row>
    <row r="12" spans="1:10" ht="57.6" x14ac:dyDescent="0.3">
      <c r="A12" s="9">
        <v>8</v>
      </c>
      <c r="B12" s="29">
        <v>1</v>
      </c>
      <c r="C12" s="30" t="s">
        <v>75</v>
      </c>
      <c r="D12" s="30" t="s">
        <v>74</v>
      </c>
      <c r="E12" s="29" t="s">
        <v>72</v>
      </c>
      <c r="F12" s="30" t="s">
        <v>30</v>
      </c>
      <c r="G12" s="29">
        <v>1715</v>
      </c>
      <c r="H12" s="31">
        <v>0.41</v>
      </c>
      <c r="I12" s="31">
        <f t="shared" si="0"/>
        <v>0.41</v>
      </c>
      <c r="J12" s="38" t="s">
        <v>73</v>
      </c>
    </row>
    <row r="13" spans="1:10" x14ac:dyDescent="0.3">
      <c r="A13" s="9">
        <v>9</v>
      </c>
      <c r="B13" s="29"/>
      <c r="C13" s="30"/>
      <c r="D13" s="29"/>
      <c r="E13" s="29"/>
      <c r="F13" s="30"/>
      <c r="G13" s="29"/>
      <c r="H13" s="31"/>
      <c r="I13" s="31">
        <f t="shared" si="0"/>
        <v>0</v>
      </c>
      <c r="J13" s="38"/>
    </row>
    <row r="14" spans="1:10" x14ac:dyDescent="0.3">
      <c r="A14" s="9">
        <v>10</v>
      </c>
      <c r="B14" s="29"/>
      <c r="C14" s="30"/>
      <c r="D14" s="29"/>
      <c r="E14" s="29"/>
      <c r="F14" s="30"/>
      <c r="G14" s="29"/>
      <c r="H14" s="31"/>
      <c r="I14" s="31">
        <f t="shared" si="0"/>
        <v>0</v>
      </c>
      <c r="J14" s="38"/>
    </row>
    <row r="15" spans="1:10" x14ac:dyDescent="0.3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8"/>
    </row>
    <row r="16" spans="1:10" x14ac:dyDescent="0.3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8"/>
    </row>
    <row r="17" spans="1:10" x14ac:dyDescent="0.3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8"/>
    </row>
    <row r="18" spans="1:10" x14ac:dyDescent="0.3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8"/>
    </row>
    <row r="19" spans="1:10" x14ac:dyDescent="0.3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9"/>
    </row>
    <row r="20" spans="1:10" x14ac:dyDescent="0.3">
      <c r="G20" s="47" t="s">
        <v>1</v>
      </c>
      <c r="H20" s="47"/>
      <c r="I20" s="13">
        <f>SUM(I5:I19)</f>
        <v>48.6</v>
      </c>
      <c r="J20" s="4"/>
    </row>
    <row r="21" spans="1:10" x14ac:dyDescent="0.3">
      <c r="A21" s="14" t="s">
        <v>25</v>
      </c>
      <c r="B21" s="15"/>
      <c r="C21" s="15"/>
      <c r="D21" s="15"/>
      <c r="E21" s="16"/>
      <c r="G21" s="48" t="s">
        <v>3</v>
      </c>
      <c r="H21" s="48"/>
      <c r="I21" s="11">
        <f>I20*0.19</f>
        <v>9.234</v>
      </c>
    </row>
    <row r="22" spans="1:10" x14ac:dyDescent="0.3">
      <c r="A22" s="51" t="s">
        <v>16</v>
      </c>
      <c r="B22" s="52"/>
      <c r="C22" s="17" t="s">
        <v>15</v>
      </c>
      <c r="D22" s="52" t="s">
        <v>17</v>
      </c>
      <c r="E22" s="55"/>
      <c r="G22" s="48" t="s">
        <v>2</v>
      </c>
      <c r="H22" s="48"/>
      <c r="I22" s="12">
        <f>I20*1.19</f>
        <v>57.833999999999996</v>
      </c>
    </row>
    <row r="23" spans="1:10" x14ac:dyDescent="0.3">
      <c r="A23" s="53" t="s">
        <v>30</v>
      </c>
      <c r="B23" s="54"/>
      <c r="C23" s="18" t="s">
        <v>28</v>
      </c>
      <c r="D23" s="58" t="s">
        <v>22</v>
      </c>
      <c r="E23" s="59"/>
    </row>
    <row r="24" spans="1:10" x14ac:dyDescent="0.3">
      <c r="A24" s="53" t="s">
        <v>31</v>
      </c>
      <c r="B24" s="54"/>
      <c r="C24" s="18" t="s">
        <v>27</v>
      </c>
      <c r="D24" s="58" t="s">
        <v>19</v>
      </c>
      <c r="E24" s="59"/>
    </row>
    <row r="25" spans="1:10" x14ac:dyDescent="0.3">
      <c r="A25" s="53" t="s">
        <v>32</v>
      </c>
      <c r="B25" s="54"/>
      <c r="C25" s="18" t="s">
        <v>27</v>
      </c>
      <c r="D25" s="58" t="s">
        <v>13</v>
      </c>
      <c r="E25" s="59"/>
      <c r="H25" t="s">
        <v>12</v>
      </c>
    </row>
    <row r="26" spans="1:10" x14ac:dyDescent="0.3">
      <c r="A26" s="53" t="s">
        <v>33</v>
      </c>
      <c r="B26" s="54"/>
      <c r="C26" s="18" t="s">
        <v>27</v>
      </c>
      <c r="D26" s="58" t="s">
        <v>14</v>
      </c>
      <c r="E26" s="59"/>
    </row>
    <row r="27" spans="1:10" x14ac:dyDescent="0.3">
      <c r="A27" s="56" t="s">
        <v>29</v>
      </c>
      <c r="B27" s="57"/>
      <c r="C27" s="40"/>
      <c r="D27" s="60" t="s">
        <v>34</v>
      </c>
      <c r="E27" s="61"/>
    </row>
    <row r="28" spans="1:10" x14ac:dyDescent="0.3">
      <c r="A28" s="41" t="s">
        <v>55</v>
      </c>
      <c r="B28" s="42"/>
      <c r="C28" s="19" t="s">
        <v>27</v>
      </c>
      <c r="D28" s="44" t="s">
        <v>56</v>
      </c>
      <c r="E28" s="43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  <hyperlink ref="J8" r:id="rId7" location="closemodal" xr:uid="{0BC7397E-CC1B-49DB-89D0-5C72D081FAD8}"/>
    <hyperlink ref="J9" r:id="rId8" xr:uid="{E91E3A8F-2A46-42AE-9608-F60A317835D9}"/>
  </hyperlinks>
  <pageMargins left="0.25" right="0.25" top="0.75" bottom="0.75" header="0.3" footer="0.3"/>
  <pageSetup paperSize="9" orientation="landscape" r:id="rId9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Justin-Julius Chin-Cheong</cp:lastModifiedBy>
  <cp:lastPrinted>2017-02-08T11:39:48Z</cp:lastPrinted>
  <dcterms:created xsi:type="dcterms:W3CDTF">2017-02-06T13:00:47Z</dcterms:created>
  <dcterms:modified xsi:type="dcterms:W3CDTF">2025-10-22T20:55:41Z</dcterms:modified>
</cp:coreProperties>
</file>